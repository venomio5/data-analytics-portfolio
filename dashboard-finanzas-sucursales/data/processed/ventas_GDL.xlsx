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24226"/>
  <xr:revisionPtr revIDLastSave="0" documentId="8_{E3BD84E5-2B40-4504-A3DB-412AEBE1E126}"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F751" i="1" l="1"/>
  <c r="H751" i="1" s="1"/>
  <c r="F750" i="1"/>
  <c r="H750" i="1" s="1"/>
  <c r="F749" i="1"/>
  <c r="H749" i="1" s="1"/>
  <c r="F748" i="1"/>
  <c r="H748" i="1" s="1"/>
  <c r="F747" i="1"/>
  <c r="H747" i="1" s="1"/>
  <c r="F746" i="1"/>
  <c r="H746" i="1" s="1"/>
  <c r="F745" i="1"/>
  <c r="H745" i="1" s="1"/>
  <c r="F744" i="1"/>
  <c r="H744" i="1" s="1"/>
  <c r="F743" i="1"/>
  <c r="H743" i="1" s="1"/>
  <c r="F742" i="1"/>
  <c r="H742" i="1" s="1"/>
  <c r="F741" i="1"/>
  <c r="H741" i="1" s="1"/>
  <c r="F740" i="1"/>
  <c r="H740" i="1" s="1"/>
  <c r="F739" i="1"/>
  <c r="H739" i="1" s="1"/>
  <c r="F738" i="1"/>
  <c r="H738" i="1" s="1"/>
  <c r="F737" i="1"/>
  <c r="H737" i="1" s="1"/>
  <c r="F736" i="1"/>
  <c r="H736" i="1" s="1"/>
  <c r="F735" i="1"/>
  <c r="H735" i="1" s="1"/>
  <c r="F734" i="1"/>
  <c r="H734" i="1" s="1"/>
  <c r="F733" i="1"/>
  <c r="H733" i="1" s="1"/>
  <c r="F732" i="1"/>
  <c r="H732" i="1" s="1"/>
  <c r="F731" i="1"/>
  <c r="H731" i="1" s="1"/>
  <c r="F730" i="1"/>
  <c r="H730" i="1" s="1"/>
  <c r="F729" i="1"/>
  <c r="H729" i="1" s="1"/>
  <c r="F728" i="1"/>
  <c r="H728" i="1" s="1"/>
  <c r="F727" i="1"/>
  <c r="H727" i="1" s="1"/>
  <c r="F726" i="1"/>
  <c r="H726" i="1" s="1"/>
  <c r="F725" i="1"/>
  <c r="H725" i="1" s="1"/>
  <c r="F724" i="1"/>
  <c r="H724" i="1" s="1"/>
  <c r="F723" i="1"/>
  <c r="H723" i="1" s="1"/>
  <c r="F722" i="1"/>
  <c r="H722" i="1" s="1"/>
  <c r="F721" i="1"/>
  <c r="H721" i="1" s="1"/>
  <c r="F720" i="1"/>
  <c r="H720" i="1" s="1"/>
  <c r="F719" i="1"/>
  <c r="H719" i="1" s="1"/>
  <c r="F718" i="1"/>
  <c r="H718" i="1" s="1"/>
  <c r="F717" i="1"/>
  <c r="H717" i="1" s="1"/>
  <c r="F716" i="1"/>
  <c r="H716" i="1" s="1"/>
  <c r="F715" i="1"/>
  <c r="H715" i="1" s="1"/>
  <c r="F714" i="1"/>
  <c r="H714" i="1" s="1"/>
  <c r="F713" i="1"/>
  <c r="H713" i="1" s="1"/>
  <c r="F712" i="1"/>
  <c r="H712" i="1" s="1"/>
  <c r="F711" i="1"/>
  <c r="H711" i="1" s="1"/>
  <c r="F710" i="1"/>
  <c r="H710" i="1" s="1"/>
  <c r="F709" i="1"/>
  <c r="H709" i="1" s="1"/>
  <c r="F708" i="1"/>
  <c r="H708" i="1" s="1"/>
  <c r="F707" i="1"/>
  <c r="H707" i="1" s="1"/>
  <c r="F706" i="1"/>
  <c r="H706" i="1" s="1"/>
  <c r="F705" i="1"/>
  <c r="H705" i="1" s="1"/>
  <c r="F704" i="1"/>
  <c r="H704" i="1" s="1"/>
  <c r="F703" i="1"/>
  <c r="H703" i="1" s="1"/>
  <c r="F702" i="1"/>
  <c r="H702" i="1" s="1"/>
  <c r="F701" i="1"/>
  <c r="H701" i="1" s="1"/>
  <c r="F700" i="1"/>
  <c r="H700" i="1" s="1"/>
  <c r="F699" i="1"/>
  <c r="H699" i="1" s="1"/>
  <c r="F698" i="1"/>
  <c r="H698" i="1" s="1"/>
  <c r="F697" i="1"/>
  <c r="H697" i="1" s="1"/>
  <c r="F696" i="1"/>
  <c r="H696" i="1" s="1"/>
  <c r="F695" i="1"/>
  <c r="H695" i="1" s="1"/>
  <c r="F694" i="1"/>
  <c r="H694" i="1" s="1"/>
  <c r="F693" i="1"/>
  <c r="H693" i="1" s="1"/>
  <c r="F692" i="1"/>
  <c r="H692" i="1" s="1"/>
  <c r="F691" i="1"/>
  <c r="H691" i="1" s="1"/>
  <c r="F690" i="1"/>
  <c r="H690" i="1" s="1"/>
  <c r="F689" i="1"/>
  <c r="H689" i="1" s="1"/>
  <c r="F688" i="1"/>
  <c r="H688" i="1" s="1"/>
  <c r="F687" i="1"/>
  <c r="H687" i="1" s="1"/>
  <c r="F686" i="1"/>
  <c r="H686" i="1" s="1"/>
  <c r="F685" i="1"/>
  <c r="H685" i="1" s="1"/>
  <c r="F684" i="1"/>
  <c r="H684" i="1" s="1"/>
  <c r="F683" i="1"/>
  <c r="H683" i="1" s="1"/>
  <c r="F682" i="1"/>
  <c r="H682" i="1" s="1"/>
  <c r="F681" i="1"/>
  <c r="H681" i="1" s="1"/>
  <c r="F680" i="1"/>
  <c r="H680" i="1" s="1"/>
  <c r="F679" i="1"/>
  <c r="H679" i="1" s="1"/>
  <c r="F678" i="1"/>
  <c r="H678" i="1" s="1"/>
  <c r="F677" i="1"/>
  <c r="H677" i="1" s="1"/>
  <c r="F676" i="1"/>
  <c r="H676" i="1" s="1"/>
  <c r="F675" i="1"/>
  <c r="H675" i="1" s="1"/>
  <c r="F674" i="1"/>
  <c r="H674" i="1" s="1"/>
  <c r="F673" i="1"/>
  <c r="H673" i="1" s="1"/>
  <c r="F672" i="1"/>
  <c r="H672" i="1" s="1"/>
  <c r="F671" i="1"/>
  <c r="H671" i="1" s="1"/>
  <c r="F670" i="1"/>
  <c r="H670" i="1" s="1"/>
  <c r="F669" i="1"/>
  <c r="H669" i="1" s="1"/>
  <c r="F668" i="1"/>
  <c r="H668" i="1" s="1"/>
  <c r="F667" i="1"/>
  <c r="H667" i="1" s="1"/>
  <c r="F666" i="1"/>
  <c r="H666" i="1" s="1"/>
  <c r="F665" i="1"/>
  <c r="H665" i="1" s="1"/>
  <c r="F664" i="1"/>
  <c r="H664" i="1" s="1"/>
  <c r="F663" i="1"/>
  <c r="H663" i="1" s="1"/>
  <c r="F662" i="1"/>
  <c r="H662" i="1" s="1"/>
  <c r="F661" i="1"/>
  <c r="H661" i="1" s="1"/>
  <c r="F660" i="1"/>
  <c r="H660" i="1" s="1"/>
  <c r="F659" i="1"/>
  <c r="H659" i="1" s="1"/>
  <c r="F658" i="1"/>
  <c r="H658" i="1" s="1"/>
  <c r="F657" i="1"/>
  <c r="H657" i="1" s="1"/>
  <c r="F656" i="1"/>
  <c r="H656" i="1" s="1"/>
  <c r="F655" i="1"/>
  <c r="H655" i="1" s="1"/>
  <c r="F654" i="1"/>
  <c r="H654" i="1" s="1"/>
  <c r="F653" i="1"/>
  <c r="H653" i="1" s="1"/>
  <c r="F652" i="1"/>
  <c r="H652" i="1" s="1"/>
  <c r="F651" i="1"/>
  <c r="H651" i="1" s="1"/>
  <c r="F650" i="1"/>
  <c r="H650" i="1" s="1"/>
  <c r="F649" i="1"/>
  <c r="H649" i="1" s="1"/>
  <c r="F648" i="1"/>
  <c r="H648" i="1" s="1"/>
  <c r="F647" i="1"/>
  <c r="H647" i="1" s="1"/>
  <c r="F646" i="1"/>
  <c r="H646" i="1" s="1"/>
  <c r="F645" i="1"/>
  <c r="H645" i="1" s="1"/>
  <c r="F644" i="1"/>
  <c r="H644" i="1" s="1"/>
  <c r="F643" i="1"/>
  <c r="H643" i="1" s="1"/>
  <c r="F642" i="1"/>
  <c r="H642" i="1" s="1"/>
  <c r="F641" i="1"/>
  <c r="H641" i="1" s="1"/>
  <c r="F640" i="1"/>
  <c r="H640" i="1" s="1"/>
  <c r="F639" i="1"/>
  <c r="H639" i="1" s="1"/>
  <c r="F638" i="1"/>
  <c r="H638" i="1" s="1"/>
  <c r="F637" i="1"/>
  <c r="H637" i="1" s="1"/>
  <c r="F636" i="1"/>
  <c r="H636" i="1" s="1"/>
  <c r="F635" i="1"/>
  <c r="H635" i="1" s="1"/>
  <c r="F634" i="1"/>
  <c r="H634" i="1" s="1"/>
  <c r="F633" i="1"/>
  <c r="H633" i="1" s="1"/>
  <c r="F632" i="1"/>
  <c r="H632" i="1" s="1"/>
  <c r="F631" i="1"/>
  <c r="H631" i="1" s="1"/>
  <c r="F630" i="1"/>
  <c r="H630" i="1" s="1"/>
  <c r="F629" i="1"/>
  <c r="H629" i="1" s="1"/>
  <c r="F628" i="1"/>
  <c r="H628" i="1" s="1"/>
  <c r="F627" i="1"/>
  <c r="H627" i="1" s="1"/>
  <c r="F626" i="1"/>
  <c r="H626" i="1" s="1"/>
  <c r="F625" i="1"/>
  <c r="H625" i="1" s="1"/>
  <c r="F624" i="1"/>
  <c r="H624" i="1" s="1"/>
  <c r="F623" i="1"/>
  <c r="H623" i="1" s="1"/>
  <c r="F622" i="1"/>
  <c r="H622" i="1" s="1"/>
  <c r="F621" i="1"/>
  <c r="H621" i="1" s="1"/>
  <c r="F620" i="1"/>
  <c r="H620" i="1" s="1"/>
  <c r="F619" i="1"/>
  <c r="H619" i="1" s="1"/>
  <c r="F618" i="1"/>
  <c r="H618" i="1" s="1"/>
  <c r="F617" i="1"/>
  <c r="H617" i="1" s="1"/>
  <c r="F616" i="1"/>
  <c r="H616" i="1" s="1"/>
  <c r="F615" i="1"/>
  <c r="H615" i="1" s="1"/>
  <c r="F614" i="1"/>
  <c r="H614" i="1" s="1"/>
  <c r="F613" i="1"/>
  <c r="H613" i="1" s="1"/>
  <c r="F612" i="1"/>
  <c r="H612" i="1" s="1"/>
  <c r="F611" i="1"/>
  <c r="H611" i="1" s="1"/>
  <c r="F610" i="1"/>
  <c r="H610" i="1" s="1"/>
  <c r="F609" i="1"/>
  <c r="H609" i="1" s="1"/>
  <c r="F608" i="1"/>
  <c r="H608" i="1" s="1"/>
  <c r="F607" i="1"/>
  <c r="H607" i="1" s="1"/>
  <c r="F606" i="1"/>
  <c r="H606" i="1" s="1"/>
  <c r="F605" i="1"/>
  <c r="H605" i="1" s="1"/>
  <c r="F604" i="1"/>
  <c r="H604" i="1" s="1"/>
  <c r="F603" i="1"/>
  <c r="H603" i="1" s="1"/>
  <c r="F602" i="1"/>
  <c r="H602" i="1" s="1"/>
  <c r="F601" i="1"/>
  <c r="H601" i="1" s="1"/>
  <c r="F600" i="1"/>
  <c r="H600" i="1" s="1"/>
  <c r="F599" i="1"/>
  <c r="H599" i="1" s="1"/>
  <c r="F598" i="1"/>
  <c r="H598" i="1" s="1"/>
  <c r="F597" i="1"/>
  <c r="H597" i="1" s="1"/>
  <c r="F596" i="1"/>
  <c r="H596" i="1" s="1"/>
  <c r="F595" i="1"/>
  <c r="H595" i="1" s="1"/>
  <c r="F594" i="1"/>
  <c r="H594" i="1" s="1"/>
  <c r="F593" i="1"/>
  <c r="H593" i="1" s="1"/>
  <c r="F592" i="1"/>
  <c r="H592" i="1" s="1"/>
  <c r="F591" i="1"/>
  <c r="H591" i="1" s="1"/>
  <c r="F590" i="1"/>
  <c r="H590" i="1" s="1"/>
  <c r="F589" i="1"/>
  <c r="H589" i="1" s="1"/>
  <c r="F588" i="1"/>
  <c r="H588" i="1" s="1"/>
  <c r="F587" i="1"/>
  <c r="H587" i="1" s="1"/>
  <c r="F586" i="1"/>
  <c r="H586" i="1" s="1"/>
  <c r="F585" i="1"/>
  <c r="H585" i="1" s="1"/>
  <c r="F584" i="1"/>
  <c r="H584" i="1" s="1"/>
  <c r="F583" i="1"/>
  <c r="H583" i="1" s="1"/>
  <c r="F582" i="1"/>
  <c r="H582" i="1" s="1"/>
  <c r="F581" i="1"/>
  <c r="H581" i="1" s="1"/>
  <c r="F580" i="1"/>
  <c r="H580" i="1" s="1"/>
  <c r="F579" i="1"/>
  <c r="H579" i="1" s="1"/>
  <c r="F578" i="1"/>
  <c r="H578" i="1" s="1"/>
  <c r="F577" i="1"/>
  <c r="H577" i="1" s="1"/>
  <c r="F576" i="1"/>
  <c r="H576" i="1" s="1"/>
  <c r="F575" i="1"/>
  <c r="H575" i="1" s="1"/>
  <c r="F574" i="1"/>
  <c r="H574" i="1" s="1"/>
  <c r="F573" i="1"/>
  <c r="H573" i="1" s="1"/>
  <c r="F572" i="1"/>
  <c r="H572" i="1" s="1"/>
  <c r="F571" i="1"/>
  <c r="H571" i="1" s="1"/>
  <c r="F570" i="1"/>
  <c r="H570" i="1" s="1"/>
  <c r="F569" i="1"/>
  <c r="H569" i="1" s="1"/>
  <c r="F568" i="1"/>
  <c r="H568" i="1" s="1"/>
  <c r="F567" i="1"/>
  <c r="H567" i="1" s="1"/>
  <c r="F566" i="1"/>
  <c r="H566" i="1" s="1"/>
  <c r="F565" i="1"/>
  <c r="H565" i="1" s="1"/>
  <c r="F564" i="1"/>
  <c r="H564" i="1" s="1"/>
  <c r="F563" i="1"/>
  <c r="H563" i="1" s="1"/>
  <c r="F562" i="1"/>
  <c r="H562" i="1" s="1"/>
  <c r="F561" i="1"/>
  <c r="H561" i="1" s="1"/>
  <c r="F560" i="1"/>
  <c r="H560" i="1" s="1"/>
  <c r="F559" i="1"/>
  <c r="H559" i="1" s="1"/>
  <c r="F558" i="1"/>
  <c r="H558" i="1" s="1"/>
  <c r="F557" i="1"/>
  <c r="H557" i="1" s="1"/>
  <c r="F556" i="1"/>
  <c r="H556" i="1" s="1"/>
  <c r="F555" i="1"/>
  <c r="H555" i="1" s="1"/>
  <c r="F554" i="1"/>
  <c r="H554" i="1" s="1"/>
  <c r="F553" i="1"/>
  <c r="H553" i="1" s="1"/>
  <c r="F552" i="1"/>
  <c r="H552" i="1" s="1"/>
  <c r="F551" i="1"/>
  <c r="H551" i="1" s="1"/>
  <c r="F550" i="1"/>
  <c r="H550" i="1" s="1"/>
  <c r="F549" i="1"/>
  <c r="H549" i="1" s="1"/>
  <c r="F548" i="1"/>
  <c r="H548" i="1" s="1"/>
  <c r="F547" i="1"/>
  <c r="H547" i="1" s="1"/>
  <c r="F546" i="1"/>
  <c r="H546" i="1" s="1"/>
  <c r="F545" i="1"/>
  <c r="H545" i="1" s="1"/>
  <c r="F544" i="1"/>
  <c r="H544" i="1" s="1"/>
  <c r="F543" i="1"/>
  <c r="H543" i="1" s="1"/>
  <c r="F542" i="1"/>
  <c r="H542" i="1" s="1"/>
  <c r="F541" i="1"/>
  <c r="H541" i="1" s="1"/>
  <c r="F540" i="1"/>
  <c r="H540" i="1" s="1"/>
  <c r="F539" i="1"/>
  <c r="H539" i="1" s="1"/>
  <c r="F538" i="1"/>
  <c r="H538" i="1" s="1"/>
  <c r="F537" i="1"/>
  <c r="H537" i="1" s="1"/>
  <c r="F536" i="1"/>
  <c r="H536" i="1" s="1"/>
  <c r="F535" i="1"/>
  <c r="H535" i="1" s="1"/>
  <c r="F534" i="1"/>
  <c r="H534" i="1" s="1"/>
  <c r="F533" i="1"/>
  <c r="H533" i="1" s="1"/>
  <c r="F532" i="1"/>
  <c r="H532" i="1" s="1"/>
  <c r="F531" i="1"/>
  <c r="H531" i="1" s="1"/>
  <c r="F530" i="1"/>
  <c r="H530" i="1" s="1"/>
  <c r="F529" i="1"/>
  <c r="H529" i="1" s="1"/>
  <c r="F528" i="1"/>
  <c r="H528" i="1" s="1"/>
  <c r="F527" i="1"/>
  <c r="H527" i="1" s="1"/>
  <c r="F526" i="1"/>
  <c r="H526" i="1" s="1"/>
  <c r="F525" i="1"/>
  <c r="H525" i="1" s="1"/>
  <c r="F524" i="1"/>
  <c r="H524" i="1" s="1"/>
  <c r="F523" i="1"/>
  <c r="H523" i="1" s="1"/>
  <c r="F522" i="1"/>
  <c r="H522" i="1" s="1"/>
  <c r="F521" i="1"/>
  <c r="H521" i="1" s="1"/>
  <c r="F520" i="1"/>
  <c r="H520" i="1" s="1"/>
  <c r="F519" i="1"/>
  <c r="H519" i="1" s="1"/>
  <c r="F518" i="1"/>
  <c r="H518" i="1" s="1"/>
  <c r="F517" i="1"/>
  <c r="H517" i="1" s="1"/>
  <c r="F516" i="1"/>
  <c r="H516" i="1" s="1"/>
  <c r="F515" i="1"/>
  <c r="H515" i="1" s="1"/>
  <c r="F514" i="1"/>
  <c r="H514" i="1" s="1"/>
  <c r="F513" i="1"/>
  <c r="H513" i="1" s="1"/>
  <c r="F512" i="1"/>
  <c r="H512" i="1" s="1"/>
  <c r="F511" i="1"/>
  <c r="H511" i="1" s="1"/>
  <c r="F510" i="1"/>
  <c r="H510" i="1" s="1"/>
  <c r="F509" i="1"/>
  <c r="H509" i="1" s="1"/>
  <c r="F508" i="1"/>
  <c r="H508" i="1" s="1"/>
  <c r="F507" i="1"/>
  <c r="H507" i="1" s="1"/>
  <c r="F506" i="1"/>
  <c r="H506" i="1" s="1"/>
  <c r="F505" i="1"/>
  <c r="H505" i="1" s="1"/>
  <c r="F504" i="1"/>
  <c r="H504" i="1" s="1"/>
  <c r="F503" i="1"/>
  <c r="H503" i="1" s="1"/>
  <c r="F502" i="1"/>
  <c r="H502" i="1" s="1"/>
  <c r="F501" i="1"/>
  <c r="H501" i="1" s="1"/>
  <c r="F500" i="1"/>
  <c r="H500" i="1" s="1"/>
  <c r="F499" i="1"/>
  <c r="H499" i="1" s="1"/>
  <c r="F498" i="1"/>
  <c r="H498" i="1" s="1"/>
  <c r="F497" i="1"/>
  <c r="H497" i="1" s="1"/>
  <c r="F496" i="1"/>
  <c r="H496" i="1" s="1"/>
  <c r="F495" i="1"/>
  <c r="H495" i="1" s="1"/>
  <c r="F494" i="1"/>
  <c r="H494" i="1" s="1"/>
  <c r="F493" i="1"/>
  <c r="H493" i="1" s="1"/>
  <c r="F492" i="1"/>
  <c r="H492" i="1" s="1"/>
  <c r="F491" i="1"/>
  <c r="H491" i="1" s="1"/>
  <c r="F490" i="1"/>
  <c r="H490" i="1" s="1"/>
  <c r="F489" i="1"/>
  <c r="H489" i="1" s="1"/>
  <c r="F488" i="1"/>
  <c r="H488" i="1" s="1"/>
  <c r="F487" i="1"/>
  <c r="H487" i="1" s="1"/>
  <c r="F486" i="1"/>
  <c r="H486" i="1" s="1"/>
  <c r="F485" i="1"/>
  <c r="H485" i="1" s="1"/>
  <c r="F484" i="1"/>
  <c r="H484" i="1" s="1"/>
  <c r="F483" i="1"/>
  <c r="H483" i="1" s="1"/>
  <c r="F482" i="1"/>
  <c r="H482" i="1" s="1"/>
  <c r="F481" i="1"/>
  <c r="H481" i="1" s="1"/>
  <c r="F480" i="1"/>
  <c r="H480" i="1" s="1"/>
  <c r="F479" i="1"/>
  <c r="H479" i="1" s="1"/>
  <c r="F478" i="1"/>
  <c r="H478" i="1" s="1"/>
  <c r="F477" i="1"/>
  <c r="H477" i="1" s="1"/>
  <c r="F476" i="1"/>
  <c r="H476" i="1" s="1"/>
  <c r="F475" i="1"/>
  <c r="H475" i="1" s="1"/>
  <c r="F474" i="1"/>
  <c r="H474" i="1" s="1"/>
  <c r="F473" i="1"/>
  <c r="H473" i="1" s="1"/>
  <c r="F472" i="1"/>
  <c r="H472" i="1" s="1"/>
  <c r="F471" i="1"/>
  <c r="H471" i="1" s="1"/>
  <c r="F470" i="1"/>
  <c r="H470" i="1" s="1"/>
  <c r="F469" i="1"/>
  <c r="H469" i="1" s="1"/>
  <c r="F468" i="1"/>
  <c r="H468" i="1" s="1"/>
  <c r="F467" i="1"/>
  <c r="H467" i="1" s="1"/>
  <c r="F466" i="1"/>
  <c r="H466" i="1" s="1"/>
  <c r="F465" i="1"/>
  <c r="H465" i="1" s="1"/>
  <c r="F464" i="1"/>
  <c r="H464" i="1" s="1"/>
  <c r="F463" i="1"/>
  <c r="H463" i="1" s="1"/>
  <c r="F462" i="1"/>
  <c r="H462" i="1" s="1"/>
  <c r="F461" i="1"/>
  <c r="H461" i="1" s="1"/>
  <c r="F460" i="1"/>
  <c r="H460" i="1" s="1"/>
  <c r="F459" i="1"/>
  <c r="H459" i="1" s="1"/>
  <c r="F458" i="1"/>
  <c r="H458" i="1" s="1"/>
  <c r="F457" i="1"/>
  <c r="H457" i="1" s="1"/>
  <c r="F456" i="1"/>
  <c r="H456" i="1" s="1"/>
  <c r="F455" i="1"/>
  <c r="H455" i="1" s="1"/>
  <c r="F454" i="1"/>
  <c r="H454" i="1" s="1"/>
  <c r="F453" i="1"/>
  <c r="H453" i="1" s="1"/>
  <c r="F452" i="1"/>
  <c r="H452" i="1" s="1"/>
  <c r="F451" i="1"/>
  <c r="H451" i="1" s="1"/>
  <c r="F450" i="1"/>
  <c r="H450" i="1" s="1"/>
  <c r="F449" i="1"/>
  <c r="H449" i="1" s="1"/>
  <c r="F448" i="1"/>
  <c r="H448" i="1" s="1"/>
  <c r="F447" i="1"/>
  <c r="H447" i="1" s="1"/>
  <c r="F446" i="1"/>
  <c r="H446" i="1" s="1"/>
  <c r="F445" i="1"/>
  <c r="H445" i="1" s="1"/>
  <c r="F444" i="1"/>
  <c r="H444" i="1" s="1"/>
  <c r="F443" i="1"/>
  <c r="H443" i="1" s="1"/>
  <c r="F442" i="1"/>
  <c r="H442" i="1" s="1"/>
  <c r="F441" i="1"/>
  <c r="H441" i="1" s="1"/>
  <c r="F440" i="1"/>
  <c r="H440" i="1" s="1"/>
  <c r="F439" i="1"/>
  <c r="H439" i="1" s="1"/>
  <c r="F438" i="1"/>
  <c r="H438" i="1" s="1"/>
  <c r="F437" i="1"/>
  <c r="H437" i="1" s="1"/>
  <c r="F436" i="1"/>
  <c r="H436" i="1" s="1"/>
  <c r="F435" i="1"/>
  <c r="H435" i="1" s="1"/>
  <c r="F434" i="1"/>
  <c r="H434" i="1" s="1"/>
  <c r="F433" i="1"/>
  <c r="H433" i="1" s="1"/>
  <c r="F432" i="1"/>
  <c r="H432" i="1" s="1"/>
  <c r="F431" i="1"/>
  <c r="H431" i="1" s="1"/>
  <c r="F430" i="1"/>
  <c r="H430" i="1" s="1"/>
  <c r="F429" i="1"/>
  <c r="H429" i="1" s="1"/>
  <c r="F428" i="1"/>
  <c r="H428" i="1" s="1"/>
  <c r="F427" i="1"/>
  <c r="H427" i="1" s="1"/>
  <c r="F426" i="1"/>
  <c r="H426" i="1" s="1"/>
  <c r="F425" i="1"/>
  <c r="H425" i="1" s="1"/>
  <c r="F424" i="1"/>
  <c r="H424" i="1" s="1"/>
  <c r="F423" i="1"/>
  <c r="H423" i="1" s="1"/>
  <c r="F422" i="1"/>
  <c r="H422" i="1" s="1"/>
  <c r="F421" i="1"/>
  <c r="H421" i="1" s="1"/>
  <c r="F420" i="1"/>
  <c r="H420" i="1" s="1"/>
  <c r="F419" i="1"/>
  <c r="H419" i="1" s="1"/>
  <c r="F418" i="1"/>
  <c r="H418" i="1" s="1"/>
  <c r="F417" i="1"/>
  <c r="H417" i="1" s="1"/>
  <c r="F416" i="1"/>
  <c r="H416" i="1" s="1"/>
  <c r="F415" i="1"/>
  <c r="H415" i="1" s="1"/>
  <c r="F414" i="1"/>
  <c r="H414" i="1" s="1"/>
  <c r="F413" i="1"/>
  <c r="H413" i="1" s="1"/>
  <c r="F412" i="1"/>
  <c r="H412" i="1" s="1"/>
  <c r="F411" i="1"/>
  <c r="H411" i="1" s="1"/>
  <c r="F410" i="1"/>
  <c r="H410" i="1" s="1"/>
  <c r="F409" i="1"/>
  <c r="H409" i="1" s="1"/>
  <c r="F408" i="1"/>
  <c r="H408" i="1" s="1"/>
  <c r="F407" i="1"/>
  <c r="H407" i="1" s="1"/>
  <c r="F406" i="1"/>
  <c r="H406" i="1" s="1"/>
  <c r="F405" i="1"/>
  <c r="H405" i="1" s="1"/>
  <c r="F404" i="1"/>
  <c r="H404" i="1" s="1"/>
  <c r="F403" i="1"/>
  <c r="H403" i="1" s="1"/>
  <c r="F402" i="1"/>
  <c r="H402" i="1" s="1"/>
  <c r="F401" i="1"/>
  <c r="H401" i="1" s="1"/>
  <c r="F400" i="1"/>
  <c r="H400" i="1" s="1"/>
  <c r="F399" i="1"/>
  <c r="H399" i="1" s="1"/>
  <c r="F398" i="1"/>
  <c r="H398" i="1" s="1"/>
  <c r="F397" i="1"/>
  <c r="H397" i="1" s="1"/>
  <c r="F396" i="1"/>
  <c r="H396" i="1" s="1"/>
  <c r="F395" i="1"/>
  <c r="H395" i="1" s="1"/>
  <c r="F394" i="1"/>
  <c r="H394" i="1" s="1"/>
  <c r="F393" i="1"/>
  <c r="H393" i="1" s="1"/>
  <c r="F392" i="1"/>
  <c r="H392" i="1" s="1"/>
  <c r="F391" i="1"/>
  <c r="H391" i="1" s="1"/>
  <c r="F390" i="1"/>
  <c r="H390" i="1" s="1"/>
  <c r="F389" i="1"/>
  <c r="H389" i="1" s="1"/>
  <c r="F388" i="1"/>
  <c r="H388" i="1" s="1"/>
  <c r="F387" i="1"/>
  <c r="H387" i="1" s="1"/>
  <c r="F386" i="1"/>
  <c r="H386" i="1" s="1"/>
  <c r="F385" i="1"/>
  <c r="H385" i="1" s="1"/>
  <c r="F384" i="1"/>
  <c r="H384" i="1" s="1"/>
  <c r="F383" i="1"/>
  <c r="H383" i="1" s="1"/>
  <c r="F382" i="1"/>
  <c r="H382" i="1" s="1"/>
  <c r="F381" i="1"/>
  <c r="H381" i="1" s="1"/>
  <c r="F380" i="1"/>
  <c r="H380" i="1" s="1"/>
  <c r="F379" i="1"/>
  <c r="H379" i="1" s="1"/>
  <c r="F378" i="1"/>
  <c r="H378" i="1" s="1"/>
  <c r="F377" i="1"/>
  <c r="H377" i="1" s="1"/>
  <c r="F376" i="1"/>
  <c r="H376" i="1" s="1"/>
  <c r="F375" i="1"/>
  <c r="H375" i="1" s="1"/>
  <c r="F374" i="1"/>
  <c r="H374" i="1" s="1"/>
  <c r="F373" i="1"/>
  <c r="H373" i="1" s="1"/>
  <c r="F372" i="1"/>
  <c r="H372" i="1" s="1"/>
  <c r="F371" i="1"/>
  <c r="H371" i="1" s="1"/>
  <c r="F370" i="1"/>
  <c r="H370" i="1" s="1"/>
  <c r="F369" i="1"/>
  <c r="H369" i="1" s="1"/>
  <c r="F368" i="1"/>
  <c r="H368" i="1" s="1"/>
  <c r="F367" i="1"/>
  <c r="H367" i="1" s="1"/>
  <c r="F366" i="1"/>
  <c r="H366" i="1" s="1"/>
  <c r="F365" i="1"/>
  <c r="H365" i="1" s="1"/>
  <c r="F364" i="1"/>
  <c r="H364" i="1" s="1"/>
  <c r="F363" i="1"/>
  <c r="H363" i="1" s="1"/>
  <c r="F362" i="1"/>
  <c r="H362" i="1" s="1"/>
  <c r="F361" i="1"/>
  <c r="H361" i="1" s="1"/>
  <c r="F360" i="1"/>
  <c r="H360" i="1" s="1"/>
  <c r="F359" i="1"/>
  <c r="H359" i="1" s="1"/>
  <c r="F358" i="1"/>
  <c r="H358" i="1" s="1"/>
  <c r="F357" i="1"/>
  <c r="H357" i="1" s="1"/>
  <c r="F356" i="1"/>
  <c r="H356" i="1" s="1"/>
  <c r="F355" i="1"/>
  <c r="H355" i="1" s="1"/>
  <c r="F354" i="1"/>
  <c r="H354" i="1" s="1"/>
  <c r="F353" i="1"/>
  <c r="H353" i="1" s="1"/>
  <c r="F352" i="1"/>
  <c r="H352" i="1" s="1"/>
  <c r="F351" i="1"/>
  <c r="H351" i="1" s="1"/>
  <c r="F350" i="1"/>
  <c r="H350" i="1" s="1"/>
  <c r="F349" i="1"/>
  <c r="H349" i="1" s="1"/>
  <c r="F348" i="1"/>
  <c r="H348" i="1" s="1"/>
  <c r="F347" i="1"/>
  <c r="H347" i="1" s="1"/>
  <c r="F346" i="1"/>
  <c r="H346" i="1" s="1"/>
  <c r="F345" i="1"/>
  <c r="H345" i="1" s="1"/>
  <c r="F344" i="1"/>
  <c r="H344" i="1" s="1"/>
  <c r="F343" i="1"/>
  <c r="H343" i="1" s="1"/>
  <c r="F342" i="1"/>
  <c r="H342" i="1" s="1"/>
  <c r="F341" i="1"/>
  <c r="H341" i="1" s="1"/>
  <c r="F340" i="1"/>
  <c r="H340" i="1" s="1"/>
  <c r="F339" i="1"/>
  <c r="H339" i="1" s="1"/>
  <c r="F338" i="1"/>
  <c r="H338" i="1" s="1"/>
  <c r="F337" i="1"/>
  <c r="H337" i="1" s="1"/>
  <c r="F336" i="1"/>
  <c r="H336" i="1" s="1"/>
  <c r="F335" i="1"/>
  <c r="H335" i="1" s="1"/>
  <c r="F334" i="1"/>
  <c r="H334" i="1" s="1"/>
  <c r="F333" i="1"/>
  <c r="H333" i="1" s="1"/>
  <c r="F332" i="1"/>
  <c r="H332" i="1" s="1"/>
  <c r="F331" i="1"/>
  <c r="H331" i="1" s="1"/>
  <c r="F330" i="1"/>
  <c r="H330" i="1" s="1"/>
  <c r="F329" i="1"/>
  <c r="H329" i="1" s="1"/>
  <c r="F328" i="1"/>
  <c r="H328" i="1" s="1"/>
  <c r="F327" i="1"/>
  <c r="H327" i="1" s="1"/>
  <c r="F326" i="1"/>
  <c r="H326" i="1" s="1"/>
  <c r="F325" i="1"/>
  <c r="H325" i="1" s="1"/>
  <c r="F324" i="1"/>
  <c r="H324" i="1" s="1"/>
  <c r="F323" i="1"/>
  <c r="H323" i="1" s="1"/>
  <c r="F322" i="1"/>
  <c r="H322" i="1" s="1"/>
  <c r="F321" i="1"/>
  <c r="H321" i="1" s="1"/>
  <c r="F320" i="1"/>
  <c r="H320" i="1" s="1"/>
  <c r="F319" i="1"/>
  <c r="H319" i="1" s="1"/>
  <c r="F318" i="1"/>
  <c r="H318" i="1" s="1"/>
  <c r="F317" i="1"/>
  <c r="H317" i="1" s="1"/>
  <c r="F316" i="1"/>
  <c r="H316" i="1" s="1"/>
  <c r="F315" i="1"/>
  <c r="H315" i="1" s="1"/>
  <c r="F314" i="1"/>
  <c r="H314" i="1" s="1"/>
  <c r="F313" i="1"/>
  <c r="H313" i="1" s="1"/>
  <c r="F312" i="1"/>
  <c r="H312" i="1" s="1"/>
  <c r="F311" i="1"/>
  <c r="H311" i="1" s="1"/>
  <c r="F310" i="1"/>
  <c r="H310" i="1" s="1"/>
  <c r="F309" i="1"/>
  <c r="H309" i="1" s="1"/>
  <c r="F308" i="1"/>
  <c r="H308" i="1" s="1"/>
  <c r="F307" i="1"/>
  <c r="H307" i="1" s="1"/>
  <c r="F306" i="1"/>
  <c r="H306" i="1" s="1"/>
  <c r="F305" i="1"/>
  <c r="H305" i="1" s="1"/>
  <c r="F304" i="1"/>
  <c r="H304" i="1" s="1"/>
  <c r="F303" i="1"/>
  <c r="H303" i="1" s="1"/>
  <c r="F302" i="1"/>
  <c r="H302" i="1" s="1"/>
  <c r="F301" i="1"/>
  <c r="H301" i="1" s="1"/>
  <c r="F300" i="1"/>
  <c r="H300" i="1" s="1"/>
  <c r="F299" i="1"/>
  <c r="H299" i="1" s="1"/>
  <c r="F298" i="1"/>
  <c r="H298" i="1" s="1"/>
  <c r="F297" i="1"/>
  <c r="H297" i="1" s="1"/>
  <c r="F296" i="1"/>
  <c r="H296" i="1" s="1"/>
  <c r="F295" i="1"/>
  <c r="H295" i="1" s="1"/>
  <c r="F294" i="1"/>
  <c r="H294" i="1" s="1"/>
  <c r="F293" i="1"/>
  <c r="H293" i="1" s="1"/>
  <c r="F292" i="1"/>
  <c r="H292" i="1" s="1"/>
  <c r="F291" i="1"/>
  <c r="H291" i="1" s="1"/>
  <c r="F290" i="1"/>
  <c r="H290" i="1" s="1"/>
  <c r="F289" i="1"/>
  <c r="H289" i="1" s="1"/>
  <c r="F288" i="1"/>
  <c r="H288" i="1" s="1"/>
  <c r="F287" i="1"/>
  <c r="H287" i="1" s="1"/>
  <c r="F286" i="1"/>
  <c r="H286" i="1" s="1"/>
  <c r="F285" i="1"/>
  <c r="H285" i="1" s="1"/>
  <c r="F284" i="1"/>
  <c r="H284" i="1" s="1"/>
  <c r="F283" i="1"/>
  <c r="H283" i="1" s="1"/>
  <c r="F282" i="1"/>
  <c r="H282" i="1" s="1"/>
  <c r="F281" i="1"/>
  <c r="H281" i="1" s="1"/>
  <c r="F280" i="1"/>
  <c r="H280" i="1" s="1"/>
  <c r="F279" i="1"/>
  <c r="H279" i="1" s="1"/>
  <c r="F278" i="1"/>
  <c r="H278" i="1" s="1"/>
  <c r="F277" i="1"/>
  <c r="H277" i="1" s="1"/>
  <c r="F276" i="1"/>
  <c r="H276" i="1" s="1"/>
  <c r="F275" i="1"/>
  <c r="H275" i="1" s="1"/>
  <c r="F274" i="1"/>
  <c r="H274" i="1" s="1"/>
  <c r="F273" i="1"/>
  <c r="H273" i="1" s="1"/>
  <c r="F272" i="1"/>
  <c r="H272" i="1" s="1"/>
  <c r="F271" i="1"/>
  <c r="H271" i="1" s="1"/>
  <c r="F270" i="1"/>
  <c r="H270" i="1" s="1"/>
  <c r="F269" i="1"/>
  <c r="H269" i="1" s="1"/>
  <c r="F268" i="1"/>
  <c r="H268" i="1" s="1"/>
  <c r="F267" i="1"/>
  <c r="H267" i="1" s="1"/>
  <c r="F266" i="1"/>
  <c r="H266" i="1" s="1"/>
  <c r="F265" i="1"/>
  <c r="H265" i="1" s="1"/>
  <c r="F264" i="1"/>
  <c r="H264" i="1" s="1"/>
  <c r="F263" i="1"/>
  <c r="H263" i="1" s="1"/>
  <c r="F262" i="1"/>
  <c r="H262" i="1" s="1"/>
  <c r="F261" i="1"/>
  <c r="H261" i="1" s="1"/>
  <c r="F260" i="1"/>
  <c r="H260" i="1" s="1"/>
  <c r="F259" i="1"/>
  <c r="H259" i="1" s="1"/>
  <c r="F258" i="1"/>
  <c r="H258" i="1" s="1"/>
  <c r="F257" i="1"/>
  <c r="H257" i="1" s="1"/>
  <c r="F256" i="1"/>
  <c r="H256" i="1" s="1"/>
  <c r="F255" i="1"/>
  <c r="H255" i="1" s="1"/>
  <c r="F254" i="1"/>
  <c r="H254" i="1" s="1"/>
  <c r="F253" i="1"/>
  <c r="H253" i="1" s="1"/>
  <c r="F252" i="1"/>
  <c r="H252" i="1" s="1"/>
  <c r="F251" i="1"/>
  <c r="H251" i="1" s="1"/>
  <c r="F250" i="1"/>
  <c r="H250" i="1" s="1"/>
  <c r="F249" i="1"/>
  <c r="H249" i="1" s="1"/>
  <c r="F248" i="1"/>
  <c r="H248" i="1" s="1"/>
  <c r="F247" i="1"/>
  <c r="H247" i="1" s="1"/>
  <c r="F246" i="1"/>
  <c r="H246" i="1" s="1"/>
  <c r="F245" i="1"/>
  <c r="H245" i="1" s="1"/>
  <c r="F244" i="1"/>
  <c r="H244" i="1" s="1"/>
  <c r="F243" i="1"/>
  <c r="H243" i="1" s="1"/>
  <c r="F242" i="1"/>
  <c r="H242" i="1" s="1"/>
  <c r="F241" i="1"/>
  <c r="H241" i="1" s="1"/>
  <c r="F240" i="1"/>
  <c r="H240" i="1" s="1"/>
  <c r="F239" i="1"/>
  <c r="H239" i="1" s="1"/>
  <c r="F238" i="1"/>
  <c r="H238" i="1" s="1"/>
  <c r="F237" i="1"/>
  <c r="H237" i="1" s="1"/>
  <c r="F236" i="1"/>
  <c r="H236" i="1" s="1"/>
  <c r="F235" i="1"/>
  <c r="H235" i="1" s="1"/>
  <c r="F234" i="1"/>
  <c r="H234" i="1" s="1"/>
  <c r="F233" i="1"/>
  <c r="H233" i="1" s="1"/>
  <c r="F232" i="1"/>
  <c r="H232" i="1" s="1"/>
  <c r="F231" i="1"/>
  <c r="H231" i="1" s="1"/>
  <c r="F230" i="1"/>
  <c r="H230" i="1" s="1"/>
  <c r="F229" i="1"/>
  <c r="H229" i="1" s="1"/>
  <c r="F228" i="1"/>
  <c r="H228" i="1" s="1"/>
  <c r="F227" i="1"/>
  <c r="H227" i="1" s="1"/>
  <c r="F226" i="1"/>
  <c r="H226" i="1" s="1"/>
  <c r="F225" i="1"/>
  <c r="H225" i="1" s="1"/>
  <c r="F224" i="1"/>
  <c r="H224" i="1" s="1"/>
  <c r="F223" i="1"/>
  <c r="H223" i="1" s="1"/>
  <c r="F222" i="1"/>
  <c r="H222" i="1" s="1"/>
  <c r="F221" i="1"/>
  <c r="H221" i="1" s="1"/>
  <c r="F220" i="1"/>
  <c r="H220" i="1" s="1"/>
  <c r="F219" i="1"/>
  <c r="H219" i="1" s="1"/>
  <c r="F218" i="1"/>
  <c r="H218" i="1" s="1"/>
  <c r="F217" i="1"/>
  <c r="H217" i="1" s="1"/>
  <c r="F216" i="1"/>
  <c r="H216" i="1" s="1"/>
  <c r="F215" i="1"/>
  <c r="H215" i="1" s="1"/>
  <c r="F214" i="1"/>
  <c r="H214" i="1" s="1"/>
  <c r="F213" i="1"/>
  <c r="H213" i="1" s="1"/>
  <c r="F212" i="1"/>
  <c r="H212" i="1" s="1"/>
  <c r="F211" i="1"/>
  <c r="H211" i="1" s="1"/>
  <c r="F210" i="1"/>
  <c r="H210" i="1" s="1"/>
  <c r="F209" i="1"/>
  <c r="H209" i="1" s="1"/>
  <c r="F208" i="1"/>
  <c r="H208" i="1" s="1"/>
  <c r="F207" i="1"/>
  <c r="H207" i="1" s="1"/>
  <c r="F206" i="1"/>
  <c r="H206" i="1" s="1"/>
  <c r="F205" i="1"/>
  <c r="H205" i="1" s="1"/>
  <c r="F204" i="1"/>
  <c r="H204" i="1" s="1"/>
  <c r="F203" i="1"/>
  <c r="H203" i="1" s="1"/>
  <c r="F202" i="1"/>
  <c r="H202" i="1" s="1"/>
  <c r="F201" i="1"/>
  <c r="H201" i="1" s="1"/>
  <c r="F200" i="1"/>
  <c r="H200" i="1" s="1"/>
  <c r="F199" i="1"/>
  <c r="H199" i="1" s="1"/>
  <c r="F198" i="1"/>
  <c r="H198" i="1" s="1"/>
  <c r="F197" i="1"/>
  <c r="H197" i="1" s="1"/>
  <c r="F196" i="1"/>
  <c r="H196" i="1" s="1"/>
  <c r="F195" i="1"/>
  <c r="H195" i="1" s="1"/>
  <c r="F194" i="1"/>
  <c r="H194" i="1" s="1"/>
  <c r="F193" i="1"/>
  <c r="H193" i="1" s="1"/>
  <c r="F192" i="1"/>
  <c r="H192" i="1" s="1"/>
  <c r="F191" i="1"/>
  <c r="H191" i="1" s="1"/>
  <c r="F190" i="1"/>
  <c r="H190" i="1" s="1"/>
  <c r="F189" i="1"/>
  <c r="H189" i="1" s="1"/>
  <c r="F188" i="1"/>
  <c r="H188" i="1" s="1"/>
  <c r="F187" i="1"/>
  <c r="H187" i="1" s="1"/>
  <c r="F186" i="1"/>
  <c r="H186" i="1" s="1"/>
  <c r="F185" i="1"/>
  <c r="H185" i="1" s="1"/>
  <c r="F184" i="1"/>
  <c r="H184" i="1" s="1"/>
  <c r="F183" i="1"/>
  <c r="H183" i="1" s="1"/>
  <c r="F182" i="1"/>
  <c r="H182" i="1" s="1"/>
  <c r="F181" i="1"/>
  <c r="H181" i="1" s="1"/>
  <c r="F180" i="1"/>
  <c r="H180" i="1" s="1"/>
  <c r="F179" i="1"/>
  <c r="H179" i="1" s="1"/>
  <c r="F178" i="1"/>
  <c r="H178" i="1" s="1"/>
  <c r="F177" i="1"/>
  <c r="H177" i="1" s="1"/>
  <c r="F176" i="1"/>
  <c r="H176" i="1" s="1"/>
  <c r="F175" i="1"/>
  <c r="H175" i="1" s="1"/>
  <c r="F174" i="1"/>
  <c r="H174" i="1" s="1"/>
  <c r="F173" i="1"/>
  <c r="H173" i="1" s="1"/>
  <c r="F172" i="1"/>
  <c r="H172" i="1" s="1"/>
  <c r="F171" i="1"/>
  <c r="H171" i="1" s="1"/>
  <c r="F170" i="1"/>
  <c r="H170" i="1" s="1"/>
  <c r="F169" i="1"/>
  <c r="H169" i="1" s="1"/>
  <c r="F168" i="1"/>
  <c r="H168" i="1" s="1"/>
  <c r="F167" i="1"/>
  <c r="H167" i="1" s="1"/>
  <c r="F166" i="1"/>
  <c r="H166" i="1" s="1"/>
  <c r="F165" i="1"/>
  <c r="H165" i="1" s="1"/>
  <c r="F164" i="1"/>
  <c r="H164" i="1" s="1"/>
  <c r="F163" i="1"/>
  <c r="H163" i="1" s="1"/>
  <c r="F162" i="1"/>
  <c r="H162" i="1" s="1"/>
  <c r="F161" i="1"/>
  <c r="H161" i="1" s="1"/>
  <c r="F160" i="1"/>
  <c r="H160" i="1" s="1"/>
  <c r="F159" i="1"/>
  <c r="H159" i="1" s="1"/>
  <c r="F158" i="1"/>
  <c r="H158" i="1" s="1"/>
  <c r="F157" i="1"/>
  <c r="H157" i="1" s="1"/>
  <c r="F156" i="1"/>
  <c r="H156" i="1" s="1"/>
  <c r="F155" i="1"/>
  <c r="H155" i="1" s="1"/>
  <c r="F154" i="1"/>
  <c r="H154" i="1" s="1"/>
  <c r="F153" i="1"/>
  <c r="H153" i="1" s="1"/>
  <c r="F152" i="1"/>
  <c r="H152" i="1" s="1"/>
  <c r="F151" i="1"/>
  <c r="H151" i="1" s="1"/>
  <c r="F150" i="1"/>
  <c r="H150" i="1" s="1"/>
  <c r="F149" i="1"/>
  <c r="H149" i="1" s="1"/>
  <c r="F148" i="1"/>
  <c r="H148" i="1" s="1"/>
  <c r="F147" i="1"/>
  <c r="H147" i="1" s="1"/>
  <c r="F146" i="1"/>
  <c r="H146" i="1" s="1"/>
  <c r="F145" i="1"/>
  <c r="H145" i="1" s="1"/>
  <c r="F144" i="1"/>
  <c r="H144" i="1" s="1"/>
  <c r="F143" i="1"/>
  <c r="H143" i="1" s="1"/>
  <c r="F142" i="1"/>
  <c r="H142" i="1" s="1"/>
  <c r="F141" i="1"/>
  <c r="H141" i="1" s="1"/>
  <c r="F140" i="1"/>
  <c r="H140" i="1" s="1"/>
  <c r="F139" i="1"/>
  <c r="H139" i="1" s="1"/>
  <c r="F138" i="1"/>
  <c r="H138" i="1" s="1"/>
  <c r="F137" i="1"/>
  <c r="H137" i="1" s="1"/>
  <c r="F136" i="1"/>
  <c r="H136" i="1" s="1"/>
  <c r="F135" i="1"/>
  <c r="H135" i="1" s="1"/>
  <c r="F134" i="1"/>
  <c r="H134" i="1" s="1"/>
  <c r="F133" i="1"/>
  <c r="H133" i="1" s="1"/>
  <c r="F132" i="1"/>
  <c r="H132" i="1" s="1"/>
  <c r="F131" i="1"/>
  <c r="H131" i="1" s="1"/>
  <c r="F130" i="1"/>
  <c r="H130" i="1" s="1"/>
  <c r="F129" i="1"/>
  <c r="H129" i="1" s="1"/>
  <c r="F128" i="1"/>
  <c r="H128" i="1" s="1"/>
  <c r="F127" i="1"/>
  <c r="H127" i="1" s="1"/>
  <c r="F126" i="1"/>
  <c r="H126" i="1" s="1"/>
  <c r="F125" i="1"/>
  <c r="H125" i="1" s="1"/>
  <c r="F124" i="1"/>
  <c r="H124" i="1" s="1"/>
  <c r="F123" i="1"/>
  <c r="H123" i="1" s="1"/>
  <c r="F122" i="1"/>
  <c r="H122" i="1" s="1"/>
  <c r="F121" i="1"/>
  <c r="H121" i="1" s="1"/>
  <c r="F120" i="1"/>
  <c r="H120" i="1" s="1"/>
  <c r="F119" i="1"/>
  <c r="H119" i="1" s="1"/>
  <c r="F118" i="1"/>
  <c r="H118" i="1" s="1"/>
  <c r="F117" i="1"/>
  <c r="H117" i="1" s="1"/>
  <c r="F116" i="1"/>
  <c r="H116" i="1" s="1"/>
  <c r="F115" i="1"/>
  <c r="H115" i="1" s="1"/>
  <c r="F114" i="1"/>
  <c r="H114" i="1" s="1"/>
  <c r="F113" i="1"/>
  <c r="H113" i="1" s="1"/>
  <c r="F112" i="1"/>
  <c r="H112" i="1" s="1"/>
  <c r="F111" i="1"/>
  <c r="H111" i="1" s="1"/>
  <c r="F110" i="1"/>
  <c r="H110" i="1" s="1"/>
  <c r="F109" i="1"/>
  <c r="H109" i="1" s="1"/>
  <c r="F108" i="1"/>
  <c r="H108" i="1" s="1"/>
  <c r="F107" i="1"/>
  <c r="H107" i="1" s="1"/>
  <c r="F106" i="1"/>
  <c r="H106" i="1" s="1"/>
  <c r="F105" i="1"/>
  <c r="H105" i="1" s="1"/>
  <c r="F104" i="1"/>
  <c r="H104" i="1" s="1"/>
  <c r="F103" i="1"/>
  <c r="H103" i="1" s="1"/>
  <c r="F102" i="1"/>
  <c r="H102" i="1" s="1"/>
  <c r="F101" i="1"/>
  <c r="H101" i="1" s="1"/>
  <c r="F100" i="1"/>
  <c r="H100" i="1" s="1"/>
  <c r="F99" i="1"/>
  <c r="H99" i="1" s="1"/>
  <c r="F98" i="1"/>
  <c r="H98" i="1" s="1"/>
  <c r="F97" i="1"/>
  <c r="H97" i="1" s="1"/>
  <c r="F96" i="1"/>
  <c r="H96" i="1" s="1"/>
  <c r="F95" i="1"/>
  <c r="H95" i="1" s="1"/>
  <c r="F94" i="1"/>
  <c r="H94" i="1" s="1"/>
  <c r="F93" i="1"/>
  <c r="H93" i="1" s="1"/>
  <c r="F92" i="1"/>
  <c r="H92" i="1" s="1"/>
  <c r="F91" i="1"/>
  <c r="H91" i="1" s="1"/>
  <c r="F90" i="1"/>
  <c r="H90" i="1" s="1"/>
  <c r="F89" i="1"/>
  <c r="H89" i="1" s="1"/>
  <c r="F88" i="1"/>
  <c r="H88" i="1" s="1"/>
  <c r="F87" i="1"/>
  <c r="H87" i="1" s="1"/>
  <c r="F86" i="1"/>
  <c r="H86" i="1" s="1"/>
  <c r="F85" i="1"/>
  <c r="H85" i="1" s="1"/>
  <c r="F84" i="1"/>
  <c r="H84" i="1" s="1"/>
  <c r="F83" i="1"/>
  <c r="H83" i="1" s="1"/>
  <c r="F82" i="1"/>
  <c r="H82" i="1" s="1"/>
  <c r="F81" i="1"/>
  <c r="H81" i="1" s="1"/>
  <c r="F80" i="1"/>
  <c r="H80" i="1" s="1"/>
  <c r="F79" i="1"/>
  <c r="H79" i="1" s="1"/>
  <c r="F78" i="1"/>
  <c r="H78" i="1" s="1"/>
  <c r="F77" i="1"/>
  <c r="H77" i="1" s="1"/>
  <c r="F76" i="1"/>
  <c r="H76" i="1" s="1"/>
  <c r="F75" i="1"/>
  <c r="H75" i="1" s="1"/>
  <c r="F74" i="1"/>
  <c r="H74" i="1" s="1"/>
  <c r="F73" i="1"/>
  <c r="H73" i="1" s="1"/>
  <c r="F72" i="1"/>
  <c r="H72" i="1" s="1"/>
  <c r="F71" i="1"/>
  <c r="H71" i="1" s="1"/>
  <c r="F70" i="1"/>
  <c r="H70" i="1" s="1"/>
  <c r="F69" i="1"/>
  <c r="H69" i="1" s="1"/>
  <c r="F68" i="1"/>
  <c r="H68" i="1" s="1"/>
  <c r="F67" i="1"/>
  <c r="H67" i="1" s="1"/>
  <c r="F66" i="1"/>
  <c r="H66" i="1" s="1"/>
  <c r="F65" i="1"/>
  <c r="H65" i="1" s="1"/>
  <c r="F64" i="1"/>
  <c r="H64" i="1" s="1"/>
  <c r="F63" i="1"/>
  <c r="H63" i="1" s="1"/>
  <c r="F62" i="1"/>
  <c r="H62" i="1" s="1"/>
  <c r="F61" i="1"/>
  <c r="H61" i="1" s="1"/>
  <c r="F60" i="1"/>
  <c r="H60" i="1" s="1"/>
  <c r="F59" i="1"/>
  <c r="H59" i="1" s="1"/>
  <c r="F58" i="1"/>
  <c r="H58" i="1" s="1"/>
  <c r="F57" i="1"/>
  <c r="H57" i="1" s="1"/>
  <c r="F56" i="1"/>
  <c r="H56" i="1" s="1"/>
  <c r="F55" i="1"/>
  <c r="H55" i="1" s="1"/>
  <c r="F54" i="1"/>
  <c r="H54" i="1" s="1"/>
  <c r="F53" i="1"/>
  <c r="H53" i="1" s="1"/>
  <c r="F52" i="1"/>
  <c r="H52" i="1" s="1"/>
  <c r="F51" i="1"/>
  <c r="H51" i="1" s="1"/>
  <c r="F50" i="1"/>
  <c r="H50" i="1" s="1"/>
  <c r="F49" i="1"/>
  <c r="H49" i="1" s="1"/>
  <c r="F48" i="1"/>
  <c r="H48" i="1" s="1"/>
  <c r="F47" i="1"/>
  <c r="H47" i="1" s="1"/>
  <c r="F46" i="1"/>
  <c r="H46" i="1" s="1"/>
  <c r="F45" i="1"/>
  <c r="H45" i="1" s="1"/>
  <c r="F44" i="1"/>
  <c r="H44" i="1" s="1"/>
  <c r="F43" i="1"/>
  <c r="H43" i="1" s="1"/>
  <c r="F42" i="1"/>
  <c r="H42" i="1" s="1"/>
  <c r="F41" i="1"/>
  <c r="H41" i="1" s="1"/>
  <c r="F40" i="1"/>
  <c r="H40" i="1" s="1"/>
  <c r="F39" i="1"/>
  <c r="H39" i="1" s="1"/>
  <c r="F38" i="1"/>
  <c r="H38" i="1" s="1"/>
  <c r="F37" i="1"/>
  <c r="H37" i="1" s="1"/>
  <c r="F36" i="1"/>
  <c r="H36" i="1" s="1"/>
  <c r="F35" i="1"/>
  <c r="H35" i="1" s="1"/>
  <c r="F34" i="1"/>
  <c r="H34" i="1" s="1"/>
  <c r="F33" i="1"/>
  <c r="H33" i="1" s="1"/>
  <c r="F32" i="1"/>
  <c r="H32" i="1" s="1"/>
  <c r="F31" i="1"/>
  <c r="H31" i="1" s="1"/>
  <c r="F30" i="1"/>
  <c r="H30" i="1" s="1"/>
  <c r="F29" i="1"/>
  <c r="H29" i="1" s="1"/>
  <c r="F28" i="1"/>
  <c r="H28" i="1" s="1"/>
  <c r="F27" i="1"/>
  <c r="H27" i="1" s="1"/>
  <c r="F26" i="1"/>
  <c r="H26" i="1" s="1"/>
  <c r="F25" i="1"/>
  <c r="H25" i="1" s="1"/>
  <c r="F24" i="1"/>
  <c r="H24" i="1" s="1"/>
  <c r="F23" i="1"/>
  <c r="H23" i="1" s="1"/>
  <c r="F22" i="1"/>
  <c r="H22" i="1" s="1"/>
  <c r="F21" i="1"/>
  <c r="H21" i="1" s="1"/>
  <c r="F20" i="1"/>
  <c r="H20" i="1" s="1"/>
  <c r="F19" i="1"/>
  <c r="H19" i="1" s="1"/>
  <c r="F18" i="1"/>
  <c r="H18" i="1" s="1"/>
  <c r="F17" i="1"/>
  <c r="H17" i="1" s="1"/>
  <c r="F16" i="1"/>
  <c r="H16" i="1" s="1"/>
  <c r="F15" i="1"/>
  <c r="H15" i="1" s="1"/>
  <c r="F14" i="1"/>
  <c r="H14" i="1" s="1"/>
  <c r="F13" i="1"/>
  <c r="H13" i="1" s="1"/>
  <c r="F12" i="1"/>
  <c r="H12" i="1" s="1"/>
  <c r="F11" i="1"/>
  <c r="H11" i="1" s="1"/>
  <c r="F10" i="1"/>
  <c r="H10" i="1" s="1"/>
  <c r="F9" i="1"/>
  <c r="H9" i="1" s="1"/>
  <c r="F8" i="1"/>
  <c r="H8" i="1" s="1"/>
  <c r="F7" i="1"/>
  <c r="H7" i="1" s="1"/>
  <c r="F6" i="1"/>
  <c r="H6" i="1" s="1"/>
  <c r="F5" i="1"/>
  <c r="H5" i="1" s="1"/>
  <c r="F4" i="1"/>
  <c r="H4" i="1" s="1"/>
  <c r="F3" i="1"/>
  <c r="H3" i="1" s="1"/>
  <c r="F2" i="1"/>
  <c r="H2" i="1" s="1"/>
</calcChain>
</file>

<file path=xl/sharedStrings.xml><?xml version="1.0" encoding="utf-8"?>
<sst xmlns="http://schemas.openxmlformats.org/spreadsheetml/2006/main" count="3758" uniqueCount="57">
  <si>
    <t>FECHA</t>
  </si>
  <si>
    <t>PRODUCTO</t>
  </si>
  <si>
    <t>CANTIDAD</t>
  </si>
  <si>
    <t>PRECIO_UNIT</t>
  </si>
  <si>
    <t>SUBTOTAL</t>
  </si>
  <si>
    <t>IVA</t>
  </si>
  <si>
    <t>DESCUENTO/EXTRA</t>
  </si>
  <si>
    <t>TOTAL</t>
  </si>
  <si>
    <t>FORMA_PAGO</t>
  </si>
  <si>
    <t>CLIENTE</t>
  </si>
  <si>
    <t>VENDEDOR</t>
  </si>
  <si>
    <t>ESTATUS</t>
  </si>
  <si>
    <t>Suavitel 800ml</t>
  </si>
  <si>
    <t>Crédito 30 días</t>
  </si>
  <si>
    <t>Restaurante Lomas</t>
  </si>
  <si>
    <t>Lupita</t>
  </si>
  <si>
    <t>PAGADO</t>
  </si>
  <si>
    <t>Pinol 1L</t>
  </si>
  <si>
    <t>Efectivo</t>
  </si>
  <si>
    <t>Tienda de abarrotes del Centro</t>
  </si>
  <si>
    <t>Sal 1kg La Fina</t>
  </si>
  <si>
    <t>Restaurante Sur</t>
  </si>
  <si>
    <t>Cloro Cloralex 1L</t>
  </si>
  <si>
    <t>Transferencia</t>
  </si>
  <si>
    <t>Restaurante Norte</t>
  </si>
  <si>
    <t>Rodrigo</t>
  </si>
  <si>
    <t>Aceite 1L Nutrioli</t>
  </si>
  <si>
    <t>Ferretería Lomas</t>
  </si>
  <si>
    <t>Detergente Ariel 1kg</t>
  </si>
  <si>
    <t>Minisuper del Centro</t>
  </si>
  <si>
    <t>Papelería Centro Hist.</t>
  </si>
  <si>
    <t>Tienda de abarrotes Norte</t>
  </si>
  <si>
    <t>Tarjeta</t>
  </si>
  <si>
    <t>Ferretería Sur</t>
  </si>
  <si>
    <t>Minisuper Sur</t>
  </si>
  <si>
    <t>Azúcar 1kg Zulka</t>
  </si>
  <si>
    <t>Tienda de abarrotes Lomas</t>
  </si>
  <si>
    <t>Arroz 1kg La Merced</t>
  </si>
  <si>
    <t>Ferretería del Centro</t>
  </si>
  <si>
    <t>Ferretería Norte</t>
  </si>
  <si>
    <t>Frijol bayo 1kg</t>
  </si>
  <si>
    <t>Cheque</t>
  </si>
  <si>
    <t>Papelería Lomas</t>
  </si>
  <si>
    <t>Servilletas Kleenex x100</t>
  </si>
  <si>
    <t>Papelería del Centro</t>
  </si>
  <si>
    <t>Papel Higiénico Petalo x4</t>
  </si>
  <si>
    <t>Jabón Roma 500g</t>
  </si>
  <si>
    <t>Restaurante del Centro</t>
  </si>
  <si>
    <t>Papelería Norte</t>
  </si>
  <si>
    <t>Minisuper Centro Hist.</t>
  </si>
  <si>
    <t>Minisuper Norte</t>
  </si>
  <si>
    <t>Tienda de abarrotes Sur</t>
  </si>
  <si>
    <t>Tienda de abarrotes Centro Hist.</t>
  </si>
  <si>
    <t>Minisuper Lomas</t>
  </si>
  <si>
    <t>Ferretería Centro Hist.</t>
  </si>
  <si>
    <t>Restaurante Centro Hist.</t>
  </si>
  <si>
    <t>Papelería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</si>
</sst>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1" fontId="1" fillId="0" borderId="1" xfId="0" applyNumberFormat="1" applyFont="1" applyBorder="1" applyAlignment="1">
      <alignment horizontal="center" vertical="top"/>
    </xf>
    <xf numFmtId="1" fontId="0" fillId="0" borderId="0" xfId="0" applyNumberFormat="1"/>
    <xf numFmtId="164" fontId="1" fillId="0" borderId="1" xfId="0" applyNumberFormat="1" applyFont="1" applyBorder="1" applyAlignment="1">
      <alignment horizontal="center" vertical="top"/>
    </xf>
    <xf numFmtId="164" fontId="0" fillId="0" borderId="0" xfId="0" applyNumberFormat="1"/>
    <xf numFmtId="164" fontId="1" fillId="0" borderId="1" xfId="0" applyNumberFormat="1" applyFont="1" applyBorder="1" applyAlignment="1">
      <alignment horizontal="center" vertical="top" wrapText="1"/>
    </xf>
  </cellXfs>
  <cellStyles count="1">
    <cellStyle name="Normal" xfId="0" builtinId="0"/>
  </cellStyles>
  <dxfs count="10">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 formatCode="0"/>
    </dxf>
    <dxf>
      <numFmt numFmtId="165" formatCode="m/d/yyyy"/>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14025B-98B3-4929-8171-09B5AA0EA4A0}" name="Ventas" displayName="Ventas" ref="A1:L751" totalsRowShown="0" headerRowDxfId="9" headerRowBorderDxfId="7" tableBorderDxfId="8">
  <autoFilter ref="A1:L751" xr:uid="{E514025B-98B3-4929-8171-09B5AA0EA4A0}"/>
  <tableColumns count="12">
    <tableColumn id="1" xr3:uid="{561B8BB5-6AD4-4246-B37E-270A0ECC4027}" name="FECHA" dataDxfId="6"/>
    <tableColumn id="2" xr3:uid="{2AB7DFCC-E66F-4D49-AEF7-23EE5C239A0C}" name="PRODUCTO"/>
    <tableColumn id="3" xr3:uid="{79DBAB4B-CBD9-4F81-B68B-9EB4CF97101B}" name="CANTIDAD" dataDxfId="5"/>
    <tableColumn id="4" xr3:uid="{B5A5ACD2-A98E-4EFC-83A9-577FDC72FFEB}" name="PRECIO_UNIT" dataDxfId="4"/>
    <tableColumn id="9" xr3:uid="{0112EF31-95E8-4ED6-967E-FC10A143B773}" name="SUBTOTAL" dataDxfId="3">
      <calculatedColumnFormula>Ventas[[#This Row],[CANTIDAD]]*Ventas[[#This Row],[PRECIO_UNIT]]</calculatedColumnFormula>
    </tableColumn>
    <tableColumn id="10" xr3:uid="{A675EB51-692A-493F-909D-0286C5AA2761}" name="IVA" dataDxfId="2">
      <calculatedColumnFormula>Ventas[[#This Row],[SUBTOTAL]]*0.16</calculatedColumnFormula>
    </tableColumn>
    <tableColumn id="11" xr3:uid="{4BE93EEC-B7A6-4AAF-9056-785A0A5EA824}" name="DESCUENTO/EXTRA" dataDxfId="1"/>
    <tableColumn id="12" xr3:uid="{22BDDD3E-CDF0-4BB4-85CE-EDDCF1E90DD5}" name="TOTAL" dataDxfId="0">
      <calculatedColumnFormula>Ventas[[#This Row],[SUBTOTAL]]+Ventas[[#This Row],[IVA]]+Ventas[[#This Row],[DESCUENTO/EXTRA]]</calculatedColumnFormula>
    </tableColumn>
    <tableColumn id="6" xr3:uid="{2660952A-DB08-4998-8AB9-61091997A48A}" name="FORMA_PAGO"/>
    <tableColumn id="7" xr3:uid="{C34FF5F7-40A7-4F43-B34A-21333D6404F6}" name="CLIENTE"/>
    <tableColumn id="8" xr3:uid="{54B5FFF2-D207-4185-B517-38012E088BF2}" name="VENDEDOR"/>
    <tableColumn id="14" xr3:uid="{04CC4A6C-FBD2-4A21-A6AF-38DFCBC1125D}" name="ESTATU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1"/>
  <sheetViews>
    <sheetView tabSelected="1" workbookViewId="0">
      <selection activeCell="L2" sqref="L2"/>
    </sheetView>
  </sheetViews>
  <sheetFormatPr defaultRowHeight="15"/>
  <cols>
    <col min="1" max="1" width="19" style="3" bestFit="1" customWidth="1"/>
    <col min="2" max="2" width="22.5703125" bestFit="1" customWidth="1"/>
    <col min="3" max="3" width="12.5703125" style="5" bestFit="1" customWidth="1"/>
    <col min="4" max="4" width="15.140625" style="7" bestFit="1" customWidth="1"/>
    <col min="5" max="6" width="15.140625" style="7" customWidth="1"/>
    <col min="7" max="8" width="18.28515625" style="7" customWidth="1"/>
    <col min="9" max="9" width="16.28515625" bestFit="1" customWidth="1"/>
    <col min="10" max="10" width="29.140625" bestFit="1" customWidth="1"/>
    <col min="11" max="11" width="13.28515625" bestFit="1" customWidth="1"/>
    <col min="12" max="12" width="11" bestFit="1" customWidth="1"/>
  </cols>
  <sheetData>
    <row r="1" spans="1:12" ht="19.5" customHeight="1">
      <c r="A1" s="2" t="s">
        <v>0</v>
      </c>
      <c r="B1" s="1" t="s">
        <v>1</v>
      </c>
      <c r="C1" s="4" t="s">
        <v>2</v>
      </c>
      <c r="D1" s="6" t="s">
        <v>3</v>
      </c>
      <c r="E1" s="6" t="s">
        <v>4</v>
      </c>
      <c r="F1" s="6" t="s">
        <v>5</v>
      </c>
      <c r="G1" s="8" t="s">
        <v>6</v>
      </c>
      <c r="H1" s="8" t="s">
        <v>7</v>
      </c>
      <c r="I1" s="1" t="s">
        <v>8</v>
      </c>
      <c r="J1" s="1" t="s">
        <v>9</v>
      </c>
      <c r="K1" s="1" t="s">
        <v>10</v>
      </c>
      <c r="L1" s="1" t="s">
        <v>11</v>
      </c>
    </row>
    <row r="2" spans="1:12">
      <c r="A2" s="3">
        <v>44929</v>
      </c>
      <c r="B2" t="s">
        <v>12</v>
      </c>
      <c r="C2" s="5">
        <v>18</v>
      </c>
      <c r="D2" s="7">
        <v>59</v>
      </c>
      <c r="E2" s="7">
        <f>Ventas[[#This Row],[CANTIDAD]]*Ventas[[#This Row],[PRECIO_UNIT]]</f>
        <v>1062</v>
      </c>
      <c r="F2" s="7">
        <f>Ventas[[#This Row],[SUBTOTAL]]*0.16</f>
        <v>169.92000000000002</v>
      </c>
      <c r="G2" s="7">
        <v>-7.8100000000001728</v>
      </c>
      <c r="H2" s="7">
        <f>Ventas[[#This Row],[SUBTOTAL]]+Ventas[[#This Row],[IVA]]+Ventas[[#This Row],[DESCUENTO/EXTRA]]</f>
        <v>1224.1099999999999</v>
      </c>
      <c r="I2" t="s">
        <v>13</v>
      </c>
      <c r="J2" t="s">
        <v>14</v>
      </c>
      <c r="K2" t="s">
        <v>15</v>
      </c>
      <c r="L2" t="s">
        <v>16</v>
      </c>
    </row>
    <row r="3" spans="1:12">
      <c r="A3" s="3">
        <v>44931</v>
      </c>
      <c r="B3" t="s">
        <v>17</v>
      </c>
      <c r="C3" s="5">
        <v>5</v>
      </c>
      <c r="D3" s="7">
        <v>36.86</v>
      </c>
      <c r="E3" s="7">
        <f>Ventas[[#This Row],[CANTIDAD]]*Ventas[[#This Row],[PRECIO_UNIT]]</f>
        <v>184.3</v>
      </c>
      <c r="F3" s="7">
        <f>Ventas[[#This Row],[SUBTOTAL]]*0.16</f>
        <v>29.488000000000003</v>
      </c>
      <c r="G3" s="7">
        <v>1.2000000000000455E-2</v>
      </c>
      <c r="H3" s="7">
        <f>Ventas[[#This Row],[SUBTOTAL]]+Ventas[[#This Row],[IVA]]+Ventas[[#This Row],[DESCUENTO/EXTRA]]</f>
        <v>213.8</v>
      </c>
      <c r="I3" t="s">
        <v>18</v>
      </c>
      <c r="J3" t="s">
        <v>19</v>
      </c>
      <c r="K3" t="s">
        <v>15</v>
      </c>
      <c r="L3" t="s">
        <v>16</v>
      </c>
    </row>
    <row r="4" spans="1:12">
      <c r="A4" s="3">
        <v>44931</v>
      </c>
      <c r="B4" t="s">
        <v>20</v>
      </c>
      <c r="C4" s="5">
        <v>4</v>
      </c>
      <c r="D4" s="7">
        <v>11.49</v>
      </c>
      <c r="E4" s="7">
        <f>Ventas[[#This Row],[CANTIDAD]]*Ventas[[#This Row],[PRECIO_UNIT]]</f>
        <v>45.96</v>
      </c>
      <c r="F4" s="7">
        <f>Ventas[[#This Row],[SUBTOTAL]]*0.16</f>
        <v>7.3536000000000001</v>
      </c>
      <c r="G4" s="7">
        <v>-2.3600000000001842E-2</v>
      </c>
      <c r="H4" s="7">
        <f>Ventas[[#This Row],[SUBTOTAL]]+Ventas[[#This Row],[IVA]]+Ventas[[#This Row],[DESCUENTO/EXTRA]]</f>
        <v>53.29</v>
      </c>
      <c r="I4" t="s">
        <v>18</v>
      </c>
      <c r="J4" t="s">
        <v>21</v>
      </c>
      <c r="K4" t="s">
        <v>15</v>
      </c>
      <c r="L4" t="s">
        <v>16</v>
      </c>
    </row>
    <row r="5" spans="1:12">
      <c r="A5" s="3">
        <v>44932</v>
      </c>
      <c r="B5" t="s">
        <v>22</v>
      </c>
      <c r="C5" s="5">
        <v>11</v>
      </c>
      <c r="D5" s="7">
        <v>23</v>
      </c>
      <c r="E5" s="7">
        <f>Ventas[[#This Row],[CANTIDAD]]*Ventas[[#This Row],[PRECIO_UNIT]]</f>
        <v>253</v>
      </c>
      <c r="F5" s="7">
        <f>Ventas[[#This Row],[SUBTOTAL]]*0.16</f>
        <v>40.480000000000004</v>
      </c>
      <c r="G5" s="7">
        <v>-1.1200000000000045</v>
      </c>
      <c r="H5" s="7">
        <f>Ventas[[#This Row],[SUBTOTAL]]+Ventas[[#This Row],[IVA]]+Ventas[[#This Row],[DESCUENTO/EXTRA]]</f>
        <v>292.36</v>
      </c>
      <c r="I5" t="s">
        <v>23</v>
      </c>
      <c r="J5" t="s">
        <v>24</v>
      </c>
      <c r="K5" t="s">
        <v>25</v>
      </c>
      <c r="L5" t="s">
        <v>16</v>
      </c>
    </row>
    <row r="6" spans="1:12">
      <c r="A6" s="3">
        <v>44933</v>
      </c>
      <c r="B6" t="s">
        <v>26</v>
      </c>
      <c r="C6" s="5">
        <v>2</v>
      </c>
      <c r="D6" s="7">
        <v>39</v>
      </c>
      <c r="E6" s="7">
        <f>Ventas[[#This Row],[CANTIDAD]]*Ventas[[#This Row],[PRECIO_UNIT]]</f>
        <v>78</v>
      </c>
      <c r="F6" s="7">
        <f>Ventas[[#This Row],[SUBTOTAL]]*0.16</f>
        <v>12.48</v>
      </c>
      <c r="G6" s="7">
        <v>0.57999999999999829</v>
      </c>
      <c r="H6" s="7">
        <f>Ventas[[#This Row],[SUBTOTAL]]+Ventas[[#This Row],[IVA]]+Ventas[[#This Row],[DESCUENTO/EXTRA]]</f>
        <v>91.06</v>
      </c>
      <c r="I6" t="s">
        <v>23</v>
      </c>
      <c r="J6" t="s">
        <v>27</v>
      </c>
      <c r="K6" t="s">
        <v>15</v>
      </c>
      <c r="L6" t="s">
        <v>16</v>
      </c>
    </row>
    <row r="7" spans="1:12">
      <c r="A7" s="3">
        <v>44934</v>
      </c>
      <c r="B7" t="s">
        <v>28</v>
      </c>
      <c r="C7" s="5">
        <v>12</v>
      </c>
      <c r="D7" s="7">
        <v>83.71</v>
      </c>
      <c r="E7" s="7">
        <f>Ventas[[#This Row],[CANTIDAD]]*Ventas[[#This Row],[PRECIO_UNIT]]</f>
        <v>1004.52</v>
      </c>
      <c r="F7" s="7">
        <f>Ventas[[#This Row],[SUBTOTAL]]*0.16</f>
        <v>160.72319999999999</v>
      </c>
      <c r="G7" s="7">
        <v>-0.24319999999988795</v>
      </c>
      <c r="H7" s="7">
        <f>Ventas[[#This Row],[SUBTOTAL]]+Ventas[[#This Row],[IVA]]+Ventas[[#This Row],[DESCUENTO/EXTRA]]</f>
        <v>1165</v>
      </c>
      <c r="I7" t="s">
        <v>23</v>
      </c>
      <c r="J7" t="s">
        <v>29</v>
      </c>
      <c r="K7" t="s">
        <v>15</v>
      </c>
      <c r="L7" t="s">
        <v>16</v>
      </c>
    </row>
    <row r="8" spans="1:12">
      <c r="A8" s="3">
        <v>44934</v>
      </c>
      <c r="B8" t="s">
        <v>26</v>
      </c>
      <c r="C8" s="5">
        <v>10</v>
      </c>
      <c r="D8" s="7">
        <v>38.92</v>
      </c>
      <c r="E8" s="7">
        <f>Ventas[[#This Row],[CANTIDAD]]*Ventas[[#This Row],[PRECIO_UNIT]]</f>
        <v>389.20000000000005</v>
      </c>
      <c r="F8" s="7">
        <f>Ventas[[#This Row],[SUBTOTAL]]*0.16</f>
        <v>62.272000000000006</v>
      </c>
      <c r="G8" s="7">
        <v>-2.0000000000095497E-3</v>
      </c>
      <c r="H8" s="7">
        <f>Ventas[[#This Row],[SUBTOTAL]]+Ventas[[#This Row],[IVA]]+Ventas[[#This Row],[DESCUENTO/EXTRA]]</f>
        <v>451.47</v>
      </c>
      <c r="I8" t="s">
        <v>23</v>
      </c>
      <c r="J8" t="s">
        <v>29</v>
      </c>
      <c r="K8" t="s">
        <v>15</v>
      </c>
      <c r="L8" t="s">
        <v>16</v>
      </c>
    </row>
    <row r="9" spans="1:12">
      <c r="A9" s="3">
        <v>44936</v>
      </c>
      <c r="B9" t="s">
        <v>20</v>
      </c>
      <c r="C9" s="5">
        <v>25</v>
      </c>
      <c r="D9" s="7">
        <v>12.3</v>
      </c>
      <c r="E9" s="7">
        <f>Ventas[[#This Row],[CANTIDAD]]*Ventas[[#This Row],[PRECIO_UNIT]]</f>
        <v>307.5</v>
      </c>
      <c r="F9" s="7">
        <f>Ventas[[#This Row],[SUBTOTAL]]*0.16</f>
        <v>49.2</v>
      </c>
      <c r="G9" s="7">
        <v>-6.0000000000002274E-2</v>
      </c>
      <c r="H9" s="7">
        <f>Ventas[[#This Row],[SUBTOTAL]]+Ventas[[#This Row],[IVA]]+Ventas[[#This Row],[DESCUENTO/EXTRA]]</f>
        <v>356.64</v>
      </c>
      <c r="I9" t="s">
        <v>18</v>
      </c>
      <c r="J9" t="s">
        <v>21</v>
      </c>
      <c r="K9" t="s">
        <v>15</v>
      </c>
      <c r="L9" t="s">
        <v>16</v>
      </c>
    </row>
    <row r="10" spans="1:12">
      <c r="A10" s="3">
        <v>44936</v>
      </c>
      <c r="B10" t="s">
        <v>28</v>
      </c>
      <c r="C10" s="5">
        <v>20</v>
      </c>
      <c r="D10" s="7">
        <v>82</v>
      </c>
      <c r="E10" s="7">
        <f>Ventas[[#This Row],[CANTIDAD]]*Ventas[[#This Row],[PRECIO_UNIT]]</f>
        <v>1640</v>
      </c>
      <c r="F10" s="7">
        <f>Ventas[[#This Row],[SUBTOTAL]]*0.16</f>
        <v>262.39999999999998</v>
      </c>
      <c r="G10" s="7">
        <v>7.1599999999998545</v>
      </c>
      <c r="H10" s="7">
        <f>Ventas[[#This Row],[SUBTOTAL]]+Ventas[[#This Row],[IVA]]+Ventas[[#This Row],[DESCUENTO/EXTRA]]</f>
        <v>1909.56</v>
      </c>
      <c r="I10" t="s">
        <v>18</v>
      </c>
      <c r="J10" t="s">
        <v>30</v>
      </c>
      <c r="K10" t="s">
        <v>25</v>
      </c>
      <c r="L10" t="s">
        <v>16</v>
      </c>
    </row>
    <row r="11" spans="1:12">
      <c r="A11" s="3">
        <v>44940</v>
      </c>
      <c r="B11" t="s">
        <v>20</v>
      </c>
      <c r="C11" s="5">
        <v>28</v>
      </c>
      <c r="D11" s="7">
        <v>12.02</v>
      </c>
      <c r="E11" s="7">
        <f>Ventas[[#This Row],[CANTIDAD]]*Ventas[[#This Row],[PRECIO_UNIT]]</f>
        <v>336.56</v>
      </c>
      <c r="F11" s="7">
        <f>Ventas[[#This Row],[SUBTOTAL]]*0.16</f>
        <v>53.849600000000002</v>
      </c>
      <c r="G11" s="7">
        <v>7.0400000000006457E-2</v>
      </c>
      <c r="H11" s="7">
        <f>Ventas[[#This Row],[SUBTOTAL]]+Ventas[[#This Row],[IVA]]+Ventas[[#This Row],[DESCUENTO/EXTRA]]</f>
        <v>390.48</v>
      </c>
      <c r="I11" t="s">
        <v>18</v>
      </c>
      <c r="J11" t="s">
        <v>24</v>
      </c>
      <c r="K11" t="s">
        <v>15</v>
      </c>
      <c r="L11" t="s">
        <v>16</v>
      </c>
    </row>
    <row r="12" spans="1:12">
      <c r="A12" s="3">
        <v>44940</v>
      </c>
      <c r="B12" t="s">
        <v>17</v>
      </c>
      <c r="C12" s="5">
        <v>17</v>
      </c>
      <c r="D12" s="7">
        <v>36</v>
      </c>
      <c r="E12" s="7">
        <f>Ventas[[#This Row],[CANTIDAD]]*Ventas[[#This Row],[PRECIO_UNIT]]</f>
        <v>612</v>
      </c>
      <c r="F12" s="7">
        <f>Ventas[[#This Row],[SUBTOTAL]]*0.16</f>
        <v>97.92</v>
      </c>
      <c r="G12" s="7">
        <v>3.1900000000000546</v>
      </c>
      <c r="H12" s="7">
        <f>Ventas[[#This Row],[SUBTOTAL]]+Ventas[[#This Row],[IVA]]+Ventas[[#This Row],[DESCUENTO/EXTRA]]</f>
        <v>713.11</v>
      </c>
      <c r="I12" t="s">
        <v>18</v>
      </c>
      <c r="J12" t="s">
        <v>31</v>
      </c>
      <c r="K12" t="s">
        <v>25</v>
      </c>
      <c r="L12" t="s">
        <v>16</v>
      </c>
    </row>
    <row r="13" spans="1:12">
      <c r="A13" s="3">
        <v>44940</v>
      </c>
      <c r="B13" t="s">
        <v>22</v>
      </c>
      <c r="C13" s="5">
        <v>2</v>
      </c>
      <c r="D13" s="7">
        <v>22.82</v>
      </c>
      <c r="E13" s="7">
        <f>Ventas[[#This Row],[CANTIDAD]]*Ventas[[#This Row],[PRECIO_UNIT]]</f>
        <v>45.64</v>
      </c>
      <c r="F13" s="7">
        <f>Ventas[[#This Row],[SUBTOTAL]]*0.16</f>
        <v>7.3024000000000004</v>
      </c>
      <c r="G13" s="7">
        <v>-0.94239999999999924</v>
      </c>
      <c r="H13" s="7">
        <f>Ventas[[#This Row],[SUBTOTAL]]+Ventas[[#This Row],[IVA]]+Ventas[[#This Row],[DESCUENTO/EXTRA]]</f>
        <v>52</v>
      </c>
      <c r="I13" t="s">
        <v>32</v>
      </c>
      <c r="J13" t="s">
        <v>33</v>
      </c>
      <c r="K13" t="s">
        <v>15</v>
      </c>
      <c r="L13" t="s">
        <v>16</v>
      </c>
    </row>
    <row r="14" spans="1:12">
      <c r="A14" s="3">
        <v>44941</v>
      </c>
      <c r="B14" t="s">
        <v>12</v>
      </c>
      <c r="C14" s="5">
        <v>10</v>
      </c>
      <c r="D14" s="7">
        <v>57.71</v>
      </c>
      <c r="E14" s="7">
        <f>Ventas[[#This Row],[CANTIDAD]]*Ventas[[#This Row],[PRECIO_UNIT]]</f>
        <v>577.1</v>
      </c>
      <c r="F14" s="7">
        <f>Ventas[[#This Row],[SUBTOTAL]]*0.16</f>
        <v>92.335999999999999</v>
      </c>
      <c r="G14" s="7">
        <v>3.3999999999991815E-2</v>
      </c>
      <c r="H14" s="7">
        <f>Ventas[[#This Row],[SUBTOTAL]]+Ventas[[#This Row],[IVA]]+Ventas[[#This Row],[DESCUENTO/EXTRA]]</f>
        <v>669.47</v>
      </c>
      <c r="I14" t="s">
        <v>13</v>
      </c>
      <c r="J14" t="s">
        <v>34</v>
      </c>
      <c r="K14" t="s">
        <v>15</v>
      </c>
      <c r="L14" t="s">
        <v>16</v>
      </c>
    </row>
    <row r="15" spans="1:12">
      <c r="A15" s="3">
        <v>44943</v>
      </c>
      <c r="B15" t="s">
        <v>35</v>
      </c>
      <c r="C15" s="5">
        <v>11</v>
      </c>
      <c r="D15" s="7">
        <v>24.98</v>
      </c>
      <c r="E15" s="7">
        <f>Ventas[[#This Row],[CANTIDAD]]*Ventas[[#This Row],[PRECIO_UNIT]]</f>
        <v>274.78000000000003</v>
      </c>
      <c r="F15" s="7">
        <f>Ventas[[#This Row],[SUBTOTAL]]*0.16</f>
        <v>43.964800000000004</v>
      </c>
      <c r="G15" s="7">
        <v>1.5199999999936153E-2</v>
      </c>
      <c r="H15" s="7">
        <f>Ventas[[#This Row],[SUBTOTAL]]+Ventas[[#This Row],[IVA]]+Ventas[[#This Row],[DESCUENTO/EXTRA]]</f>
        <v>318.76</v>
      </c>
      <c r="I15" t="s">
        <v>18</v>
      </c>
      <c r="J15" t="s">
        <v>36</v>
      </c>
      <c r="K15" t="s">
        <v>15</v>
      </c>
      <c r="L15" t="s">
        <v>16</v>
      </c>
    </row>
    <row r="16" spans="1:12">
      <c r="A16" s="3">
        <v>44945</v>
      </c>
      <c r="B16" t="s">
        <v>37</v>
      </c>
      <c r="C16" s="5">
        <v>13</v>
      </c>
      <c r="D16" s="7">
        <v>22</v>
      </c>
      <c r="E16" s="7">
        <f>Ventas[[#This Row],[CANTIDAD]]*Ventas[[#This Row],[PRECIO_UNIT]]</f>
        <v>286</v>
      </c>
      <c r="F16" s="7">
        <f>Ventas[[#This Row],[SUBTOTAL]]*0.16</f>
        <v>45.76</v>
      </c>
      <c r="G16" s="7">
        <v>1.8799999999999955</v>
      </c>
      <c r="H16" s="7">
        <f>Ventas[[#This Row],[SUBTOTAL]]+Ventas[[#This Row],[IVA]]+Ventas[[#This Row],[DESCUENTO/EXTRA]]</f>
        <v>333.64</v>
      </c>
      <c r="I16" t="s">
        <v>32</v>
      </c>
      <c r="J16" t="s">
        <v>19</v>
      </c>
      <c r="K16" t="s">
        <v>25</v>
      </c>
      <c r="L16" t="s">
        <v>16</v>
      </c>
    </row>
    <row r="17" spans="1:12">
      <c r="A17" s="3">
        <v>44947</v>
      </c>
      <c r="B17" t="s">
        <v>28</v>
      </c>
      <c r="C17" s="5">
        <v>30</v>
      </c>
      <c r="D17" s="7">
        <v>80.81</v>
      </c>
      <c r="E17" s="7">
        <f>Ventas[[#This Row],[CANTIDAD]]*Ventas[[#This Row],[PRECIO_UNIT]]</f>
        <v>2424.3000000000002</v>
      </c>
      <c r="F17" s="7">
        <f>Ventas[[#This Row],[SUBTOTAL]]*0.16</f>
        <v>387.88800000000003</v>
      </c>
      <c r="G17" s="7">
        <v>6.1999999999898137E-2</v>
      </c>
      <c r="H17" s="7">
        <f>Ventas[[#This Row],[SUBTOTAL]]+Ventas[[#This Row],[IVA]]+Ventas[[#This Row],[DESCUENTO/EXTRA]]</f>
        <v>2812.25</v>
      </c>
      <c r="I17" t="s">
        <v>13</v>
      </c>
      <c r="J17" t="s">
        <v>38</v>
      </c>
      <c r="K17" t="s">
        <v>15</v>
      </c>
      <c r="L17" t="s">
        <v>16</v>
      </c>
    </row>
    <row r="18" spans="1:12">
      <c r="A18" s="3">
        <v>44949</v>
      </c>
      <c r="B18" t="s">
        <v>28</v>
      </c>
      <c r="C18" s="5">
        <v>5</v>
      </c>
      <c r="D18" s="7">
        <v>82.18</v>
      </c>
      <c r="E18" s="7">
        <f>Ventas[[#This Row],[CANTIDAD]]*Ventas[[#This Row],[PRECIO_UNIT]]</f>
        <v>410.90000000000003</v>
      </c>
      <c r="F18" s="7">
        <f>Ventas[[#This Row],[SUBTOTAL]]*0.16</f>
        <v>65.744</v>
      </c>
      <c r="G18" s="7">
        <v>5.9999999999718057E-3</v>
      </c>
      <c r="H18" s="7">
        <f>Ventas[[#This Row],[SUBTOTAL]]+Ventas[[#This Row],[IVA]]+Ventas[[#This Row],[DESCUENTO/EXTRA]]</f>
        <v>476.65</v>
      </c>
      <c r="I18" t="s">
        <v>32</v>
      </c>
      <c r="J18" t="s">
        <v>39</v>
      </c>
      <c r="K18" t="s">
        <v>25</v>
      </c>
      <c r="L18" t="s">
        <v>16</v>
      </c>
    </row>
    <row r="19" spans="1:12">
      <c r="A19" s="3">
        <v>44949</v>
      </c>
      <c r="B19" t="s">
        <v>40</v>
      </c>
      <c r="C19" s="5">
        <v>30</v>
      </c>
      <c r="D19" s="7">
        <v>35</v>
      </c>
      <c r="E19" s="7">
        <f>Ventas[[#This Row],[CANTIDAD]]*Ventas[[#This Row],[PRECIO_UNIT]]</f>
        <v>1050</v>
      </c>
      <c r="F19" s="7">
        <f>Ventas[[#This Row],[SUBTOTAL]]*0.16</f>
        <v>168</v>
      </c>
      <c r="G19" s="7">
        <v>17.059999999999945</v>
      </c>
      <c r="H19" s="7">
        <f>Ventas[[#This Row],[SUBTOTAL]]+Ventas[[#This Row],[IVA]]+Ventas[[#This Row],[DESCUENTO/EXTRA]]</f>
        <v>1235.06</v>
      </c>
      <c r="I19" t="s">
        <v>23</v>
      </c>
      <c r="J19" t="s">
        <v>39</v>
      </c>
      <c r="K19" t="s">
        <v>15</v>
      </c>
      <c r="L19" t="s">
        <v>16</v>
      </c>
    </row>
    <row r="20" spans="1:12">
      <c r="A20" s="3">
        <v>44950</v>
      </c>
      <c r="B20" t="s">
        <v>40</v>
      </c>
      <c r="C20" s="5">
        <v>21</v>
      </c>
      <c r="D20" s="7">
        <v>35.4</v>
      </c>
      <c r="E20" s="7">
        <f>Ventas[[#This Row],[CANTIDAD]]*Ventas[[#This Row],[PRECIO_UNIT]]</f>
        <v>743.4</v>
      </c>
      <c r="F20" s="7">
        <f>Ventas[[#This Row],[SUBTOTAL]]*0.16</f>
        <v>118.944</v>
      </c>
      <c r="G20" s="7">
        <v>-3.9999999999054126E-3</v>
      </c>
      <c r="H20" s="7">
        <f>Ventas[[#This Row],[SUBTOTAL]]+Ventas[[#This Row],[IVA]]+Ventas[[#This Row],[DESCUENTO/EXTRA]]</f>
        <v>862.34</v>
      </c>
      <c r="I20" t="s">
        <v>41</v>
      </c>
      <c r="J20" t="s">
        <v>42</v>
      </c>
      <c r="K20" t="s">
        <v>25</v>
      </c>
      <c r="L20" t="s">
        <v>16</v>
      </c>
    </row>
    <row r="21" spans="1:12">
      <c r="A21" s="3">
        <v>44951</v>
      </c>
      <c r="B21" t="s">
        <v>43</v>
      </c>
      <c r="C21" s="5">
        <v>24</v>
      </c>
      <c r="D21" s="7">
        <v>29.03</v>
      </c>
      <c r="E21" s="7">
        <f>Ventas[[#This Row],[CANTIDAD]]*Ventas[[#This Row],[PRECIO_UNIT]]</f>
        <v>696.72</v>
      </c>
      <c r="F21" s="7">
        <f>Ventas[[#This Row],[SUBTOTAL]]*0.16</f>
        <v>111.4752</v>
      </c>
      <c r="G21" s="7">
        <v>8.4799999999972897E-2</v>
      </c>
      <c r="H21" s="7">
        <f>Ventas[[#This Row],[SUBTOTAL]]+Ventas[[#This Row],[IVA]]+Ventas[[#This Row],[DESCUENTO/EXTRA]]</f>
        <v>808.28</v>
      </c>
      <c r="I21" t="s">
        <v>32</v>
      </c>
      <c r="J21" t="s">
        <v>44</v>
      </c>
      <c r="K21" t="s">
        <v>15</v>
      </c>
      <c r="L21" t="s">
        <v>16</v>
      </c>
    </row>
    <row r="22" spans="1:12">
      <c r="A22" s="3">
        <v>44951</v>
      </c>
      <c r="B22" t="s">
        <v>45</v>
      </c>
      <c r="C22" s="5">
        <v>7</v>
      </c>
      <c r="D22" s="7">
        <v>49</v>
      </c>
      <c r="E22" s="7">
        <f>Ventas[[#This Row],[CANTIDAD]]*Ventas[[#This Row],[PRECIO_UNIT]]</f>
        <v>343</v>
      </c>
      <c r="F22" s="7">
        <f>Ventas[[#This Row],[SUBTOTAL]]*0.16</f>
        <v>54.88</v>
      </c>
      <c r="G22" s="7">
        <v>-1.2099999999999795</v>
      </c>
      <c r="H22" s="7">
        <f>Ventas[[#This Row],[SUBTOTAL]]+Ventas[[#This Row],[IVA]]+Ventas[[#This Row],[DESCUENTO/EXTRA]]</f>
        <v>396.67</v>
      </c>
      <c r="I22" t="s">
        <v>18</v>
      </c>
      <c r="J22" t="s">
        <v>38</v>
      </c>
      <c r="K22" t="s">
        <v>15</v>
      </c>
      <c r="L22" t="s">
        <v>16</v>
      </c>
    </row>
    <row r="23" spans="1:12">
      <c r="A23" s="3">
        <v>44952</v>
      </c>
      <c r="B23" t="s">
        <v>37</v>
      </c>
      <c r="C23" s="5">
        <v>23</v>
      </c>
      <c r="D23" s="7">
        <v>22</v>
      </c>
      <c r="E23" s="7">
        <f>Ventas[[#This Row],[CANTIDAD]]*Ventas[[#This Row],[PRECIO_UNIT]]</f>
        <v>506</v>
      </c>
      <c r="F23" s="7">
        <f>Ventas[[#This Row],[SUBTOTAL]]*0.16</f>
        <v>80.960000000000008</v>
      </c>
      <c r="G23" s="7">
        <v>12.509999999999991</v>
      </c>
      <c r="H23" s="7">
        <f>Ventas[[#This Row],[SUBTOTAL]]+Ventas[[#This Row],[IVA]]+Ventas[[#This Row],[DESCUENTO/EXTRA]]</f>
        <v>599.47</v>
      </c>
      <c r="I23" t="s">
        <v>23</v>
      </c>
      <c r="J23" t="s">
        <v>24</v>
      </c>
      <c r="K23" t="s">
        <v>15</v>
      </c>
      <c r="L23" t="s">
        <v>16</v>
      </c>
    </row>
    <row r="24" spans="1:12">
      <c r="A24" s="3">
        <v>44953</v>
      </c>
      <c r="B24" t="s">
        <v>46</v>
      </c>
      <c r="C24" s="5">
        <v>5</v>
      </c>
      <c r="D24" s="7">
        <v>28.47</v>
      </c>
      <c r="E24" s="7">
        <f>Ventas[[#This Row],[CANTIDAD]]*Ventas[[#This Row],[PRECIO_UNIT]]</f>
        <v>142.35</v>
      </c>
      <c r="F24" s="7">
        <f>Ventas[[#This Row],[SUBTOTAL]]*0.16</f>
        <v>22.776</v>
      </c>
      <c r="G24" s="7">
        <v>2.4000000000000909E-2</v>
      </c>
      <c r="H24" s="7">
        <f>Ventas[[#This Row],[SUBTOTAL]]+Ventas[[#This Row],[IVA]]+Ventas[[#This Row],[DESCUENTO/EXTRA]]</f>
        <v>165.15</v>
      </c>
      <c r="I24" t="s">
        <v>18</v>
      </c>
      <c r="J24" t="s">
        <v>33</v>
      </c>
      <c r="K24" t="s">
        <v>25</v>
      </c>
      <c r="L24" t="s">
        <v>16</v>
      </c>
    </row>
    <row r="25" spans="1:12">
      <c r="A25" s="3">
        <v>44953</v>
      </c>
      <c r="B25" t="s">
        <v>45</v>
      </c>
      <c r="C25" s="5">
        <v>6</v>
      </c>
      <c r="D25" s="7">
        <v>46.32</v>
      </c>
      <c r="E25" s="7">
        <f>Ventas[[#This Row],[CANTIDAD]]*Ventas[[#This Row],[PRECIO_UNIT]]</f>
        <v>277.92</v>
      </c>
      <c r="F25" s="7">
        <f>Ventas[[#This Row],[SUBTOTAL]]*0.16</f>
        <v>44.467200000000005</v>
      </c>
      <c r="G25" s="7">
        <v>3.2800000000008822E-2</v>
      </c>
      <c r="H25" s="7">
        <f>Ventas[[#This Row],[SUBTOTAL]]+Ventas[[#This Row],[IVA]]+Ventas[[#This Row],[DESCUENTO/EXTRA]]</f>
        <v>322.42</v>
      </c>
      <c r="I25" t="s">
        <v>23</v>
      </c>
      <c r="J25" t="s">
        <v>38</v>
      </c>
      <c r="K25" t="s">
        <v>15</v>
      </c>
      <c r="L25" t="s">
        <v>16</v>
      </c>
    </row>
    <row r="26" spans="1:12">
      <c r="A26" s="3">
        <v>44953</v>
      </c>
      <c r="B26" t="s">
        <v>37</v>
      </c>
      <c r="C26" s="5">
        <v>15</v>
      </c>
      <c r="D26" s="7">
        <v>23</v>
      </c>
      <c r="E26" s="7">
        <f>Ventas[[#This Row],[CANTIDAD]]*Ventas[[#This Row],[PRECIO_UNIT]]</f>
        <v>345</v>
      </c>
      <c r="F26" s="7">
        <f>Ventas[[#This Row],[SUBTOTAL]]*0.16</f>
        <v>55.2</v>
      </c>
      <c r="G26" s="7">
        <v>13.800000000000011</v>
      </c>
      <c r="H26" s="7">
        <f>Ventas[[#This Row],[SUBTOTAL]]+Ventas[[#This Row],[IVA]]+Ventas[[#This Row],[DESCUENTO/EXTRA]]</f>
        <v>414</v>
      </c>
      <c r="I26" t="s">
        <v>18</v>
      </c>
      <c r="J26" t="s">
        <v>38</v>
      </c>
      <c r="K26" t="s">
        <v>15</v>
      </c>
      <c r="L26" t="s">
        <v>16</v>
      </c>
    </row>
    <row r="27" spans="1:12">
      <c r="A27" s="3">
        <v>44954</v>
      </c>
      <c r="B27" t="s">
        <v>22</v>
      </c>
      <c r="C27" s="5">
        <v>29</v>
      </c>
      <c r="D27" s="7">
        <v>21</v>
      </c>
      <c r="E27" s="7">
        <f>Ventas[[#This Row],[CANTIDAD]]*Ventas[[#This Row],[PRECIO_UNIT]]</f>
        <v>609</v>
      </c>
      <c r="F27" s="7">
        <f>Ventas[[#This Row],[SUBTOTAL]]*0.16</f>
        <v>97.44</v>
      </c>
      <c r="G27" s="7">
        <v>30.529999999999973</v>
      </c>
      <c r="H27" s="7">
        <f>Ventas[[#This Row],[SUBTOTAL]]+Ventas[[#This Row],[IVA]]+Ventas[[#This Row],[DESCUENTO/EXTRA]]</f>
        <v>736.97</v>
      </c>
      <c r="I27" t="s">
        <v>18</v>
      </c>
      <c r="J27" t="s">
        <v>36</v>
      </c>
      <c r="K27" t="s">
        <v>15</v>
      </c>
      <c r="L27" t="s">
        <v>16</v>
      </c>
    </row>
    <row r="28" spans="1:12">
      <c r="A28" s="3">
        <v>44954</v>
      </c>
      <c r="B28" t="s">
        <v>26</v>
      </c>
      <c r="C28" s="5">
        <v>3</v>
      </c>
      <c r="D28" s="7">
        <v>38</v>
      </c>
      <c r="E28" s="7">
        <f>Ventas[[#This Row],[CANTIDAD]]*Ventas[[#This Row],[PRECIO_UNIT]]</f>
        <v>114</v>
      </c>
      <c r="F28" s="7">
        <f>Ventas[[#This Row],[SUBTOTAL]]*0.16</f>
        <v>18.240000000000002</v>
      </c>
      <c r="G28" s="7">
        <v>-0.48000000000001819</v>
      </c>
      <c r="H28" s="7">
        <f>Ventas[[#This Row],[SUBTOTAL]]+Ventas[[#This Row],[IVA]]+Ventas[[#This Row],[DESCUENTO/EXTRA]]</f>
        <v>131.76</v>
      </c>
      <c r="I28" t="s">
        <v>41</v>
      </c>
      <c r="J28" t="s">
        <v>42</v>
      </c>
      <c r="K28" t="s">
        <v>25</v>
      </c>
      <c r="L28" t="s">
        <v>16</v>
      </c>
    </row>
    <row r="29" spans="1:12">
      <c r="A29" s="3">
        <v>44957</v>
      </c>
      <c r="B29" t="s">
        <v>17</v>
      </c>
      <c r="C29" s="5">
        <v>4</v>
      </c>
      <c r="D29" s="7">
        <v>35.4</v>
      </c>
      <c r="E29" s="7">
        <f>Ventas[[#This Row],[CANTIDAD]]*Ventas[[#This Row],[PRECIO_UNIT]]</f>
        <v>141.6</v>
      </c>
      <c r="F29" s="7">
        <f>Ventas[[#This Row],[SUBTOTAL]]*0.16</f>
        <v>22.655999999999999</v>
      </c>
      <c r="G29" s="7">
        <v>-0.25600000000000023</v>
      </c>
      <c r="H29" s="7">
        <f>Ventas[[#This Row],[SUBTOTAL]]+Ventas[[#This Row],[IVA]]+Ventas[[#This Row],[DESCUENTO/EXTRA]]</f>
        <v>164</v>
      </c>
      <c r="I29" t="s">
        <v>23</v>
      </c>
      <c r="J29" t="s">
        <v>29</v>
      </c>
      <c r="K29" t="s">
        <v>15</v>
      </c>
      <c r="L29" t="s">
        <v>16</v>
      </c>
    </row>
    <row r="30" spans="1:12">
      <c r="A30" s="3">
        <v>44958</v>
      </c>
      <c r="B30" t="s">
        <v>17</v>
      </c>
      <c r="C30" s="5">
        <v>16</v>
      </c>
      <c r="D30" s="7">
        <v>32.83</v>
      </c>
      <c r="E30" s="7">
        <f>Ventas[[#This Row],[CANTIDAD]]*Ventas[[#This Row],[PRECIO_UNIT]]</f>
        <v>525.28</v>
      </c>
      <c r="F30" s="7">
        <f>Ventas[[#This Row],[SUBTOTAL]]*0.16</f>
        <v>84.044799999999995</v>
      </c>
      <c r="G30" s="7">
        <v>-0.32479999999998199</v>
      </c>
      <c r="H30" s="7">
        <f>Ventas[[#This Row],[SUBTOTAL]]+Ventas[[#This Row],[IVA]]+Ventas[[#This Row],[DESCUENTO/EXTRA]]</f>
        <v>609</v>
      </c>
      <c r="I30" t="s">
        <v>18</v>
      </c>
      <c r="J30" t="s">
        <v>47</v>
      </c>
      <c r="K30" t="s">
        <v>15</v>
      </c>
      <c r="L30" t="s">
        <v>16</v>
      </c>
    </row>
    <row r="31" spans="1:12">
      <c r="A31" s="3">
        <v>44958</v>
      </c>
      <c r="B31" t="s">
        <v>22</v>
      </c>
      <c r="C31" s="5">
        <v>16</v>
      </c>
      <c r="D31" s="7">
        <v>20.52</v>
      </c>
      <c r="E31" s="7">
        <f>Ventas[[#This Row],[CANTIDAD]]*Ventas[[#This Row],[PRECIO_UNIT]]</f>
        <v>328.32</v>
      </c>
      <c r="F31" s="7">
        <f>Ventas[[#This Row],[SUBTOTAL]]*0.16</f>
        <v>52.531199999999998</v>
      </c>
      <c r="G31" s="7">
        <v>-0.85120000000000573</v>
      </c>
      <c r="H31" s="7">
        <f>Ventas[[#This Row],[SUBTOTAL]]+Ventas[[#This Row],[IVA]]+Ventas[[#This Row],[DESCUENTO/EXTRA]]</f>
        <v>380</v>
      </c>
      <c r="I31" t="s">
        <v>23</v>
      </c>
      <c r="J31" t="s">
        <v>42</v>
      </c>
      <c r="K31" t="s">
        <v>15</v>
      </c>
      <c r="L31" t="s">
        <v>16</v>
      </c>
    </row>
    <row r="32" spans="1:12">
      <c r="A32" s="3">
        <v>44959</v>
      </c>
      <c r="B32" t="s">
        <v>45</v>
      </c>
      <c r="C32" s="5">
        <v>13</v>
      </c>
      <c r="D32" s="7">
        <v>47</v>
      </c>
      <c r="E32" s="7">
        <f>Ventas[[#This Row],[CANTIDAD]]*Ventas[[#This Row],[PRECIO_UNIT]]</f>
        <v>611</v>
      </c>
      <c r="F32" s="7">
        <f>Ventas[[#This Row],[SUBTOTAL]]*0.16</f>
        <v>97.76</v>
      </c>
      <c r="G32" s="7">
        <v>-4.2999999999999545</v>
      </c>
      <c r="H32" s="7">
        <f>Ventas[[#This Row],[SUBTOTAL]]+Ventas[[#This Row],[IVA]]+Ventas[[#This Row],[DESCUENTO/EXTRA]]</f>
        <v>704.46</v>
      </c>
      <c r="I32" t="s">
        <v>18</v>
      </c>
      <c r="J32" t="s">
        <v>19</v>
      </c>
      <c r="K32" t="s">
        <v>25</v>
      </c>
      <c r="L32" t="s">
        <v>16</v>
      </c>
    </row>
    <row r="33" spans="1:12">
      <c r="A33" s="3">
        <v>44959</v>
      </c>
      <c r="B33" t="s">
        <v>20</v>
      </c>
      <c r="C33" s="5">
        <v>8</v>
      </c>
      <c r="D33" s="7">
        <v>11.68</v>
      </c>
      <c r="E33" s="7">
        <f>Ventas[[#This Row],[CANTIDAD]]*Ventas[[#This Row],[PRECIO_UNIT]]</f>
        <v>93.44</v>
      </c>
      <c r="F33" s="7">
        <f>Ventas[[#This Row],[SUBTOTAL]]*0.16</f>
        <v>14.9504</v>
      </c>
      <c r="G33" s="7">
        <v>-3.9999999999906777E-4</v>
      </c>
      <c r="H33" s="7">
        <f>Ventas[[#This Row],[SUBTOTAL]]+Ventas[[#This Row],[IVA]]+Ventas[[#This Row],[DESCUENTO/EXTRA]]</f>
        <v>108.39</v>
      </c>
      <c r="I33" t="s">
        <v>18</v>
      </c>
      <c r="J33" t="s">
        <v>48</v>
      </c>
      <c r="K33" t="s">
        <v>15</v>
      </c>
      <c r="L33" t="s">
        <v>16</v>
      </c>
    </row>
    <row r="34" spans="1:12">
      <c r="A34" s="3">
        <v>44960</v>
      </c>
      <c r="B34" t="s">
        <v>43</v>
      </c>
      <c r="C34" s="5">
        <v>1</v>
      </c>
      <c r="D34" s="7">
        <v>28</v>
      </c>
      <c r="E34" s="7">
        <f>Ventas[[#This Row],[CANTIDAD]]*Ventas[[#This Row],[PRECIO_UNIT]]</f>
        <v>28</v>
      </c>
      <c r="F34" s="7">
        <f>Ventas[[#This Row],[SUBTOTAL]]*0.16</f>
        <v>4.4800000000000004</v>
      </c>
      <c r="G34" s="7">
        <v>0.51999999999999602</v>
      </c>
      <c r="H34" s="7">
        <f>Ventas[[#This Row],[SUBTOTAL]]+Ventas[[#This Row],[IVA]]+Ventas[[#This Row],[DESCUENTO/EXTRA]]</f>
        <v>33</v>
      </c>
      <c r="I34" t="s">
        <v>23</v>
      </c>
      <c r="J34" t="s">
        <v>49</v>
      </c>
      <c r="K34" t="s">
        <v>25</v>
      </c>
      <c r="L34" t="s">
        <v>16</v>
      </c>
    </row>
    <row r="35" spans="1:12">
      <c r="A35" s="3">
        <v>44961</v>
      </c>
      <c r="B35" t="s">
        <v>26</v>
      </c>
      <c r="C35" s="5">
        <v>9</v>
      </c>
      <c r="D35" s="7">
        <v>40</v>
      </c>
      <c r="E35" s="7">
        <f>Ventas[[#This Row],[CANTIDAD]]*Ventas[[#This Row],[PRECIO_UNIT]]</f>
        <v>360</v>
      </c>
      <c r="F35" s="7">
        <f>Ventas[[#This Row],[SUBTOTAL]]*0.16</f>
        <v>57.6</v>
      </c>
      <c r="G35" s="7">
        <v>-3.6000000000000227</v>
      </c>
      <c r="H35" s="7">
        <f>Ventas[[#This Row],[SUBTOTAL]]+Ventas[[#This Row],[IVA]]+Ventas[[#This Row],[DESCUENTO/EXTRA]]</f>
        <v>414</v>
      </c>
      <c r="I35" t="s">
        <v>18</v>
      </c>
      <c r="J35" t="s">
        <v>48</v>
      </c>
      <c r="K35" t="s">
        <v>15</v>
      </c>
      <c r="L35" t="s">
        <v>16</v>
      </c>
    </row>
    <row r="36" spans="1:12">
      <c r="A36" s="3">
        <v>44961</v>
      </c>
      <c r="B36" t="s">
        <v>37</v>
      </c>
      <c r="C36" s="5">
        <v>19</v>
      </c>
      <c r="D36" s="7">
        <v>24</v>
      </c>
      <c r="E36" s="7">
        <f>Ventas[[#This Row],[CANTIDAD]]*Ventas[[#This Row],[PRECIO_UNIT]]</f>
        <v>456</v>
      </c>
      <c r="F36" s="7">
        <f>Ventas[[#This Row],[SUBTOTAL]]*0.16</f>
        <v>72.960000000000008</v>
      </c>
      <c r="G36" s="7">
        <v>15.740000000000009</v>
      </c>
      <c r="H36" s="7">
        <f>Ventas[[#This Row],[SUBTOTAL]]+Ventas[[#This Row],[IVA]]+Ventas[[#This Row],[DESCUENTO/EXTRA]]</f>
        <v>544.70000000000005</v>
      </c>
      <c r="I36" t="s">
        <v>18</v>
      </c>
      <c r="J36" t="s">
        <v>14</v>
      </c>
      <c r="K36" t="s">
        <v>15</v>
      </c>
      <c r="L36" t="s">
        <v>16</v>
      </c>
    </row>
    <row r="37" spans="1:12">
      <c r="A37" s="3">
        <v>44961</v>
      </c>
      <c r="B37" t="s">
        <v>26</v>
      </c>
      <c r="C37" s="5">
        <v>15</v>
      </c>
      <c r="D37" s="7">
        <v>43.9</v>
      </c>
      <c r="E37" s="7">
        <f>Ventas[[#This Row],[CANTIDAD]]*Ventas[[#This Row],[PRECIO_UNIT]]</f>
        <v>658.5</v>
      </c>
      <c r="F37" s="7">
        <f>Ventas[[#This Row],[SUBTOTAL]]*0.16</f>
        <v>105.36</v>
      </c>
      <c r="G37" s="7">
        <v>9.0000000000031832E-2</v>
      </c>
      <c r="H37" s="7">
        <f>Ventas[[#This Row],[SUBTOTAL]]+Ventas[[#This Row],[IVA]]+Ventas[[#This Row],[DESCUENTO/EXTRA]]</f>
        <v>763.95</v>
      </c>
      <c r="I37" t="s">
        <v>13</v>
      </c>
      <c r="J37" t="s">
        <v>14</v>
      </c>
      <c r="K37" t="s">
        <v>25</v>
      </c>
      <c r="L37" t="s">
        <v>16</v>
      </c>
    </row>
    <row r="38" spans="1:12">
      <c r="A38" s="3">
        <v>44962</v>
      </c>
      <c r="B38" t="s">
        <v>26</v>
      </c>
      <c r="C38" s="5">
        <v>30</v>
      </c>
      <c r="D38" s="7">
        <v>40.729999999999997</v>
      </c>
      <c r="E38" s="7">
        <f>Ventas[[#This Row],[CANTIDAD]]*Ventas[[#This Row],[PRECIO_UNIT]]</f>
        <v>1221.8999999999999</v>
      </c>
      <c r="F38" s="7">
        <f>Ventas[[#This Row],[SUBTOTAL]]*0.16</f>
        <v>195.50399999999999</v>
      </c>
      <c r="G38" s="7">
        <v>7.6000000000249202E-2</v>
      </c>
      <c r="H38" s="7">
        <f>Ventas[[#This Row],[SUBTOTAL]]+Ventas[[#This Row],[IVA]]+Ventas[[#This Row],[DESCUENTO/EXTRA]]</f>
        <v>1417.48</v>
      </c>
      <c r="I38" t="s">
        <v>23</v>
      </c>
      <c r="J38" t="s">
        <v>50</v>
      </c>
      <c r="K38" t="s">
        <v>15</v>
      </c>
      <c r="L38" t="s">
        <v>16</v>
      </c>
    </row>
    <row r="39" spans="1:12">
      <c r="A39" s="3">
        <v>44962</v>
      </c>
      <c r="B39" t="s">
        <v>45</v>
      </c>
      <c r="C39" s="5">
        <v>10</v>
      </c>
      <c r="D39" s="7">
        <v>46.38</v>
      </c>
      <c r="E39" s="7">
        <f>Ventas[[#This Row],[CANTIDAD]]*Ventas[[#This Row],[PRECIO_UNIT]]</f>
        <v>463.8</v>
      </c>
      <c r="F39" s="7">
        <f>Ventas[[#This Row],[SUBTOTAL]]*0.16</f>
        <v>74.207999999999998</v>
      </c>
      <c r="G39" s="7">
        <v>2.1999999999934516E-2</v>
      </c>
      <c r="H39" s="7">
        <f>Ventas[[#This Row],[SUBTOTAL]]+Ventas[[#This Row],[IVA]]+Ventas[[#This Row],[DESCUENTO/EXTRA]]</f>
        <v>538.03</v>
      </c>
      <c r="I39" t="s">
        <v>32</v>
      </c>
      <c r="J39" t="s">
        <v>51</v>
      </c>
      <c r="K39" t="s">
        <v>15</v>
      </c>
      <c r="L39" t="s">
        <v>16</v>
      </c>
    </row>
    <row r="40" spans="1:12">
      <c r="A40" s="3">
        <v>44962</v>
      </c>
      <c r="B40" t="s">
        <v>22</v>
      </c>
      <c r="C40" s="5">
        <v>16</v>
      </c>
      <c r="D40" s="7">
        <v>22</v>
      </c>
      <c r="E40" s="7">
        <f>Ventas[[#This Row],[CANTIDAD]]*Ventas[[#This Row],[PRECIO_UNIT]]</f>
        <v>352</v>
      </c>
      <c r="F40" s="7">
        <f>Ventas[[#This Row],[SUBTOTAL]]*0.16</f>
        <v>56.32</v>
      </c>
      <c r="G40" s="7">
        <v>-1.6100000000000136</v>
      </c>
      <c r="H40" s="7">
        <f>Ventas[[#This Row],[SUBTOTAL]]+Ventas[[#This Row],[IVA]]+Ventas[[#This Row],[DESCUENTO/EXTRA]]</f>
        <v>406.71</v>
      </c>
      <c r="I40" t="s">
        <v>41</v>
      </c>
      <c r="J40" t="s">
        <v>19</v>
      </c>
      <c r="K40" t="s">
        <v>25</v>
      </c>
      <c r="L40" t="s">
        <v>16</v>
      </c>
    </row>
    <row r="41" spans="1:12">
      <c r="A41" s="3">
        <v>44962</v>
      </c>
      <c r="B41" t="s">
        <v>22</v>
      </c>
      <c r="C41" s="5">
        <v>19</v>
      </c>
      <c r="D41" s="7">
        <v>22</v>
      </c>
      <c r="E41" s="7">
        <f>Ventas[[#This Row],[CANTIDAD]]*Ventas[[#This Row],[PRECIO_UNIT]]</f>
        <v>418</v>
      </c>
      <c r="F41" s="7">
        <f>Ventas[[#This Row],[SUBTOTAL]]*0.16</f>
        <v>66.88</v>
      </c>
      <c r="G41" s="7">
        <v>-10.920000000000016</v>
      </c>
      <c r="H41" s="7">
        <f>Ventas[[#This Row],[SUBTOTAL]]+Ventas[[#This Row],[IVA]]+Ventas[[#This Row],[DESCUENTO/EXTRA]]</f>
        <v>473.96</v>
      </c>
      <c r="I41" t="s">
        <v>18</v>
      </c>
      <c r="J41" t="s">
        <v>31</v>
      </c>
      <c r="K41" t="s">
        <v>15</v>
      </c>
      <c r="L41" t="s">
        <v>16</v>
      </c>
    </row>
    <row r="42" spans="1:12">
      <c r="A42" s="3">
        <v>44963</v>
      </c>
      <c r="B42" t="s">
        <v>20</v>
      </c>
      <c r="C42" s="5">
        <v>18</v>
      </c>
      <c r="D42" s="7">
        <v>12.38</v>
      </c>
      <c r="E42" s="7">
        <f>Ventas[[#This Row],[CANTIDAD]]*Ventas[[#This Row],[PRECIO_UNIT]]</f>
        <v>222.84</v>
      </c>
      <c r="F42" s="7">
        <f>Ventas[[#This Row],[SUBTOTAL]]*0.16</f>
        <v>35.654400000000003</v>
      </c>
      <c r="G42" s="7">
        <v>-0.49439999999998463</v>
      </c>
      <c r="H42" s="7">
        <f>Ventas[[#This Row],[SUBTOTAL]]+Ventas[[#This Row],[IVA]]+Ventas[[#This Row],[DESCUENTO/EXTRA]]</f>
        <v>258</v>
      </c>
      <c r="I42" t="s">
        <v>18</v>
      </c>
      <c r="J42" t="s">
        <v>47</v>
      </c>
      <c r="K42" t="s">
        <v>15</v>
      </c>
      <c r="L42" t="s">
        <v>16</v>
      </c>
    </row>
    <row r="43" spans="1:12">
      <c r="A43" s="3">
        <v>44963</v>
      </c>
      <c r="B43" t="s">
        <v>12</v>
      </c>
      <c r="C43" s="5">
        <v>1</v>
      </c>
      <c r="D43" s="7">
        <v>53.42</v>
      </c>
      <c r="E43" s="7">
        <f>Ventas[[#This Row],[CANTIDAD]]*Ventas[[#This Row],[PRECIO_UNIT]]</f>
        <v>53.42</v>
      </c>
      <c r="F43" s="7">
        <f>Ventas[[#This Row],[SUBTOTAL]]*0.16</f>
        <v>8.5472000000000001</v>
      </c>
      <c r="G43" s="7">
        <v>2.7999999999934744E-3</v>
      </c>
      <c r="H43" s="7">
        <f>Ventas[[#This Row],[SUBTOTAL]]+Ventas[[#This Row],[IVA]]+Ventas[[#This Row],[DESCUENTO/EXTRA]]</f>
        <v>61.97</v>
      </c>
      <c r="I43" t="s">
        <v>23</v>
      </c>
      <c r="J43" t="s">
        <v>52</v>
      </c>
      <c r="K43" t="s">
        <v>25</v>
      </c>
      <c r="L43" t="s">
        <v>16</v>
      </c>
    </row>
    <row r="44" spans="1:12">
      <c r="A44" s="3">
        <v>44963</v>
      </c>
      <c r="B44" t="s">
        <v>17</v>
      </c>
      <c r="C44" s="5">
        <v>8</v>
      </c>
      <c r="D44" s="7">
        <v>32.58</v>
      </c>
      <c r="E44" s="7">
        <f>Ventas[[#This Row],[CANTIDAD]]*Ventas[[#This Row],[PRECIO_UNIT]]</f>
        <v>260.64</v>
      </c>
      <c r="F44" s="7">
        <f>Ventas[[#This Row],[SUBTOTAL]]*0.16</f>
        <v>41.702399999999997</v>
      </c>
      <c r="G44" s="7">
        <v>-0.34239999999999782</v>
      </c>
      <c r="H44" s="7">
        <f>Ventas[[#This Row],[SUBTOTAL]]+Ventas[[#This Row],[IVA]]+Ventas[[#This Row],[DESCUENTO/EXTRA]]</f>
        <v>302</v>
      </c>
      <c r="I44" t="s">
        <v>18</v>
      </c>
      <c r="J44" t="s">
        <v>47</v>
      </c>
      <c r="K44" t="s">
        <v>25</v>
      </c>
      <c r="L44" t="s">
        <v>16</v>
      </c>
    </row>
    <row r="45" spans="1:12">
      <c r="A45" s="3">
        <v>44964</v>
      </c>
      <c r="B45" t="s">
        <v>17</v>
      </c>
      <c r="C45" s="5">
        <v>12</v>
      </c>
      <c r="D45" s="7">
        <v>34.99</v>
      </c>
      <c r="E45" s="7">
        <f>Ventas[[#This Row],[CANTIDAD]]*Ventas[[#This Row],[PRECIO_UNIT]]</f>
        <v>419.88</v>
      </c>
      <c r="F45" s="7">
        <f>Ventas[[#This Row],[SUBTOTAL]]*0.16</f>
        <v>67.180800000000005</v>
      </c>
      <c r="G45" s="7">
        <v>6.9200000000023465E-2</v>
      </c>
      <c r="H45" s="7">
        <f>Ventas[[#This Row],[SUBTOTAL]]+Ventas[[#This Row],[IVA]]+Ventas[[#This Row],[DESCUENTO/EXTRA]]</f>
        <v>487.13</v>
      </c>
      <c r="I45" t="s">
        <v>32</v>
      </c>
      <c r="J45" t="s">
        <v>52</v>
      </c>
      <c r="K45" t="s">
        <v>15</v>
      </c>
      <c r="L45" t="s">
        <v>16</v>
      </c>
    </row>
    <row r="46" spans="1:12">
      <c r="A46" s="3">
        <v>44967</v>
      </c>
      <c r="B46" t="s">
        <v>37</v>
      </c>
      <c r="C46" s="5">
        <v>21</v>
      </c>
      <c r="D46" s="7">
        <v>22</v>
      </c>
      <c r="E46" s="7">
        <f>Ventas[[#This Row],[CANTIDAD]]*Ventas[[#This Row],[PRECIO_UNIT]]</f>
        <v>462</v>
      </c>
      <c r="F46" s="7">
        <f>Ventas[[#This Row],[SUBTOTAL]]*0.16</f>
        <v>73.92</v>
      </c>
      <c r="G46" s="7">
        <v>-2.9199999999999591</v>
      </c>
      <c r="H46" s="7">
        <f>Ventas[[#This Row],[SUBTOTAL]]+Ventas[[#This Row],[IVA]]+Ventas[[#This Row],[DESCUENTO/EXTRA]]</f>
        <v>533</v>
      </c>
      <c r="I46" t="s">
        <v>23</v>
      </c>
      <c r="J46" t="s">
        <v>30</v>
      </c>
      <c r="K46" t="s">
        <v>15</v>
      </c>
      <c r="L46" t="s">
        <v>16</v>
      </c>
    </row>
    <row r="47" spans="1:12">
      <c r="A47" s="3">
        <v>44967</v>
      </c>
      <c r="B47" t="s">
        <v>35</v>
      </c>
      <c r="C47" s="5">
        <v>25</v>
      </c>
      <c r="D47" s="7">
        <v>24.96</v>
      </c>
      <c r="E47" s="7">
        <f>Ventas[[#This Row],[CANTIDAD]]*Ventas[[#This Row],[PRECIO_UNIT]]</f>
        <v>624</v>
      </c>
      <c r="F47" s="7">
        <f>Ventas[[#This Row],[SUBTOTAL]]*0.16</f>
        <v>99.84</v>
      </c>
      <c r="G47" s="7">
        <v>-0.12999999999999545</v>
      </c>
      <c r="H47" s="7">
        <f>Ventas[[#This Row],[SUBTOTAL]]+Ventas[[#This Row],[IVA]]+Ventas[[#This Row],[DESCUENTO/EXTRA]]</f>
        <v>723.71</v>
      </c>
      <c r="I47" t="s">
        <v>18</v>
      </c>
      <c r="J47" t="s">
        <v>53</v>
      </c>
      <c r="K47" t="s">
        <v>25</v>
      </c>
      <c r="L47" t="s">
        <v>16</v>
      </c>
    </row>
    <row r="48" spans="1:12">
      <c r="A48" s="3">
        <v>44967</v>
      </c>
      <c r="B48" t="s">
        <v>20</v>
      </c>
      <c r="C48" s="5">
        <v>3</v>
      </c>
      <c r="D48" s="7">
        <v>12.03</v>
      </c>
      <c r="E48" s="7">
        <f>Ventas[[#This Row],[CANTIDAD]]*Ventas[[#This Row],[PRECIO_UNIT]]</f>
        <v>36.089999999999996</v>
      </c>
      <c r="F48" s="7">
        <f>Ventas[[#This Row],[SUBTOTAL]]*0.16</f>
        <v>5.7743999999999991</v>
      </c>
      <c r="G48" s="7">
        <v>0.13560000000000372</v>
      </c>
      <c r="H48" s="7">
        <f>Ventas[[#This Row],[SUBTOTAL]]+Ventas[[#This Row],[IVA]]+Ventas[[#This Row],[DESCUENTO/EXTRA]]</f>
        <v>42</v>
      </c>
      <c r="I48" t="s">
        <v>18</v>
      </c>
      <c r="J48" t="s">
        <v>54</v>
      </c>
      <c r="K48" t="s">
        <v>25</v>
      </c>
      <c r="L48" t="s">
        <v>16</v>
      </c>
    </row>
    <row r="49" spans="1:12">
      <c r="A49" s="3">
        <v>44968</v>
      </c>
      <c r="B49" t="s">
        <v>17</v>
      </c>
      <c r="C49" s="5">
        <v>24</v>
      </c>
      <c r="D49" s="7">
        <v>34.43</v>
      </c>
      <c r="E49" s="7">
        <f>Ventas[[#This Row],[CANTIDAD]]*Ventas[[#This Row],[PRECIO_UNIT]]</f>
        <v>826.31999999999994</v>
      </c>
      <c r="F49" s="7">
        <f>Ventas[[#This Row],[SUBTOTAL]]*0.16</f>
        <v>132.21119999999999</v>
      </c>
      <c r="G49" s="7">
        <v>-9.1199999999844295E-2</v>
      </c>
      <c r="H49" s="7">
        <f>Ventas[[#This Row],[SUBTOTAL]]+Ventas[[#This Row],[IVA]]+Ventas[[#This Row],[DESCUENTO/EXTRA]]</f>
        <v>958.44</v>
      </c>
      <c r="I49" t="s">
        <v>41</v>
      </c>
      <c r="J49" t="s">
        <v>36</v>
      </c>
      <c r="K49" t="s">
        <v>25</v>
      </c>
      <c r="L49" t="s">
        <v>16</v>
      </c>
    </row>
    <row r="50" spans="1:12">
      <c r="A50" s="3">
        <v>44969</v>
      </c>
      <c r="B50" t="s">
        <v>26</v>
      </c>
      <c r="C50" s="5">
        <v>18</v>
      </c>
      <c r="D50" s="7">
        <v>39.450000000000003</v>
      </c>
      <c r="E50" s="7">
        <f>Ventas[[#This Row],[CANTIDAD]]*Ventas[[#This Row],[PRECIO_UNIT]]</f>
        <v>710.1</v>
      </c>
      <c r="F50" s="7">
        <f>Ventas[[#This Row],[SUBTOTAL]]*0.16</f>
        <v>113.616</v>
      </c>
      <c r="G50" s="7">
        <v>0.28399999999999181</v>
      </c>
      <c r="H50" s="7">
        <f>Ventas[[#This Row],[SUBTOTAL]]+Ventas[[#This Row],[IVA]]+Ventas[[#This Row],[DESCUENTO/EXTRA]]</f>
        <v>824</v>
      </c>
      <c r="I50" t="s">
        <v>18</v>
      </c>
      <c r="J50" t="s">
        <v>52</v>
      </c>
      <c r="K50" t="s">
        <v>15</v>
      </c>
      <c r="L50" t="s">
        <v>16</v>
      </c>
    </row>
    <row r="51" spans="1:12">
      <c r="A51" s="3">
        <v>44970</v>
      </c>
      <c r="B51" t="s">
        <v>28</v>
      </c>
      <c r="C51" s="5">
        <v>1</v>
      </c>
      <c r="D51" s="7">
        <v>75.180000000000007</v>
      </c>
      <c r="E51" s="7">
        <f>Ventas[[#This Row],[CANTIDAD]]*Ventas[[#This Row],[PRECIO_UNIT]]</f>
        <v>75.180000000000007</v>
      </c>
      <c r="F51" s="7">
        <f>Ventas[[#This Row],[SUBTOTAL]]*0.16</f>
        <v>12.028800000000002</v>
      </c>
      <c r="G51" s="7">
        <v>1.1999999999829924E-3</v>
      </c>
      <c r="H51" s="7">
        <f>Ventas[[#This Row],[SUBTOTAL]]+Ventas[[#This Row],[IVA]]+Ventas[[#This Row],[DESCUENTO/EXTRA]]</f>
        <v>87.21</v>
      </c>
      <c r="I51" t="s">
        <v>18</v>
      </c>
      <c r="J51" t="s">
        <v>36</v>
      </c>
      <c r="K51" t="s">
        <v>15</v>
      </c>
      <c r="L51" t="s">
        <v>16</v>
      </c>
    </row>
    <row r="52" spans="1:12">
      <c r="A52" s="3">
        <v>44970</v>
      </c>
      <c r="B52" t="s">
        <v>35</v>
      </c>
      <c r="C52" s="5">
        <v>3</v>
      </c>
      <c r="D52" s="7">
        <v>26.08</v>
      </c>
      <c r="E52" s="7">
        <f>Ventas[[#This Row],[CANTIDAD]]*Ventas[[#This Row],[PRECIO_UNIT]]</f>
        <v>78.239999999999995</v>
      </c>
      <c r="F52" s="7">
        <f>Ventas[[#This Row],[SUBTOTAL]]*0.16</f>
        <v>12.5184</v>
      </c>
      <c r="G52" s="7">
        <v>1.1600000000001387E-2</v>
      </c>
      <c r="H52" s="7">
        <f>Ventas[[#This Row],[SUBTOTAL]]+Ventas[[#This Row],[IVA]]+Ventas[[#This Row],[DESCUENTO/EXTRA]]</f>
        <v>90.77</v>
      </c>
      <c r="I52" t="s">
        <v>23</v>
      </c>
      <c r="J52" t="s">
        <v>38</v>
      </c>
      <c r="K52" t="s">
        <v>15</v>
      </c>
      <c r="L52" t="s">
        <v>16</v>
      </c>
    </row>
    <row r="53" spans="1:12">
      <c r="A53" s="3">
        <v>44971</v>
      </c>
      <c r="B53" t="s">
        <v>20</v>
      </c>
      <c r="C53" s="5">
        <v>21</v>
      </c>
      <c r="D53" s="7">
        <v>11</v>
      </c>
      <c r="E53" s="7">
        <f>Ventas[[#This Row],[CANTIDAD]]*Ventas[[#This Row],[PRECIO_UNIT]]</f>
        <v>231</v>
      </c>
      <c r="F53" s="7">
        <f>Ventas[[#This Row],[SUBTOTAL]]*0.16</f>
        <v>36.96</v>
      </c>
      <c r="G53" s="7">
        <v>4.7400000000000091</v>
      </c>
      <c r="H53" s="7">
        <f>Ventas[[#This Row],[SUBTOTAL]]+Ventas[[#This Row],[IVA]]+Ventas[[#This Row],[DESCUENTO/EXTRA]]</f>
        <v>272.7</v>
      </c>
      <c r="I53" t="s">
        <v>23</v>
      </c>
      <c r="J53" t="s">
        <v>52</v>
      </c>
      <c r="K53" t="s">
        <v>15</v>
      </c>
      <c r="L53" t="s">
        <v>16</v>
      </c>
    </row>
    <row r="54" spans="1:12">
      <c r="A54" s="3">
        <v>44971</v>
      </c>
      <c r="B54" t="s">
        <v>43</v>
      </c>
      <c r="C54" s="5">
        <v>9</v>
      </c>
      <c r="D54" s="7">
        <v>27</v>
      </c>
      <c r="E54" s="7">
        <f>Ventas[[#This Row],[CANTIDAD]]*Ventas[[#This Row],[PRECIO_UNIT]]</f>
        <v>243</v>
      </c>
      <c r="F54" s="7">
        <f>Ventas[[#This Row],[SUBTOTAL]]*0.16</f>
        <v>38.880000000000003</v>
      </c>
      <c r="G54" s="7">
        <v>1.1499999999999773</v>
      </c>
      <c r="H54" s="7">
        <f>Ventas[[#This Row],[SUBTOTAL]]+Ventas[[#This Row],[IVA]]+Ventas[[#This Row],[DESCUENTO/EXTRA]]</f>
        <v>283.02999999999997</v>
      </c>
      <c r="I54" t="s">
        <v>18</v>
      </c>
      <c r="J54" t="s">
        <v>21</v>
      </c>
      <c r="K54" t="s">
        <v>15</v>
      </c>
      <c r="L54" t="s">
        <v>16</v>
      </c>
    </row>
    <row r="55" spans="1:12">
      <c r="A55" s="3">
        <v>44973</v>
      </c>
      <c r="B55" t="s">
        <v>26</v>
      </c>
      <c r="C55" s="5">
        <v>27</v>
      </c>
      <c r="D55" s="7">
        <v>42.18</v>
      </c>
      <c r="E55" s="7">
        <f>Ventas[[#This Row],[CANTIDAD]]*Ventas[[#This Row],[PRECIO_UNIT]]</f>
        <v>1138.8599999999999</v>
      </c>
      <c r="F55" s="7">
        <f>Ventas[[#This Row],[SUBTOTAL]]*0.16</f>
        <v>182.21759999999998</v>
      </c>
      <c r="G55" s="7">
        <v>-4.7599999999874854E-2</v>
      </c>
      <c r="H55" s="7">
        <f>Ventas[[#This Row],[SUBTOTAL]]+Ventas[[#This Row],[IVA]]+Ventas[[#This Row],[DESCUENTO/EXTRA]]</f>
        <v>1321.03</v>
      </c>
      <c r="I55" t="s">
        <v>23</v>
      </c>
      <c r="J55" t="s">
        <v>47</v>
      </c>
      <c r="K55" t="s">
        <v>25</v>
      </c>
      <c r="L55" t="s">
        <v>16</v>
      </c>
    </row>
    <row r="56" spans="1:12">
      <c r="A56" s="3">
        <v>44973</v>
      </c>
      <c r="B56" t="s">
        <v>43</v>
      </c>
      <c r="C56" s="5">
        <v>23</v>
      </c>
      <c r="D56" s="7">
        <v>30.87</v>
      </c>
      <c r="E56" s="7">
        <f>Ventas[[#This Row],[CANTIDAD]]*Ventas[[#This Row],[PRECIO_UNIT]]</f>
        <v>710.01</v>
      </c>
      <c r="F56" s="7">
        <f>Ventas[[#This Row],[SUBTOTAL]]*0.16</f>
        <v>113.6016</v>
      </c>
      <c r="G56" s="7">
        <v>5.8400000000006003E-2</v>
      </c>
      <c r="H56" s="7">
        <f>Ventas[[#This Row],[SUBTOTAL]]+Ventas[[#This Row],[IVA]]+Ventas[[#This Row],[DESCUENTO/EXTRA]]</f>
        <v>823.67</v>
      </c>
      <c r="I56" t="s">
        <v>18</v>
      </c>
      <c r="J56" t="s">
        <v>24</v>
      </c>
      <c r="K56" t="s">
        <v>15</v>
      </c>
      <c r="L56" t="s">
        <v>16</v>
      </c>
    </row>
    <row r="57" spans="1:12">
      <c r="A57" s="3">
        <v>44973</v>
      </c>
      <c r="B57" t="s">
        <v>35</v>
      </c>
      <c r="C57" s="5">
        <v>9</v>
      </c>
      <c r="D57" s="7">
        <v>26.17</v>
      </c>
      <c r="E57" s="7">
        <f>Ventas[[#This Row],[CANTIDAD]]*Ventas[[#This Row],[PRECIO_UNIT]]</f>
        <v>235.53000000000003</v>
      </c>
      <c r="F57" s="7">
        <f>Ventas[[#This Row],[SUBTOTAL]]*0.16</f>
        <v>37.684800000000003</v>
      </c>
      <c r="G57" s="7">
        <v>-1.4800000000036562E-2</v>
      </c>
      <c r="H57" s="7">
        <f>Ventas[[#This Row],[SUBTOTAL]]+Ventas[[#This Row],[IVA]]+Ventas[[#This Row],[DESCUENTO/EXTRA]]</f>
        <v>273.2</v>
      </c>
      <c r="I57" t="s">
        <v>41</v>
      </c>
      <c r="J57" t="s">
        <v>48</v>
      </c>
      <c r="K57" t="s">
        <v>15</v>
      </c>
      <c r="L57" t="s">
        <v>16</v>
      </c>
    </row>
    <row r="58" spans="1:12">
      <c r="A58" s="3">
        <v>44974</v>
      </c>
      <c r="B58" t="s">
        <v>28</v>
      </c>
      <c r="C58" s="5">
        <v>11</v>
      </c>
      <c r="D58" s="7">
        <v>79.64</v>
      </c>
      <c r="E58" s="7">
        <f>Ventas[[#This Row],[CANTIDAD]]*Ventas[[#This Row],[PRECIO_UNIT]]</f>
        <v>876.04</v>
      </c>
      <c r="F58" s="7">
        <f>Ventas[[#This Row],[SUBTOTAL]]*0.16</f>
        <v>140.16640000000001</v>
      </c>
      <c r="G58" s="7">
        <v>-6.3999999999850843E-3</v>
      </c>
      <c r="H58" s="7">
        <f>Ventas[[#This Row],[SUBTOTAL]]+Ventas[[#This Row],[IVA]]+Ventas[[#This Row],[DESCUENTO/EXTRA]]</f>
        <v>1016.2</v>
      </c>
      <c r="I58" t="s">
        <v>32</v>
      </c>
      <c r="J58" t="s">
        <v>31</v>
      </c>
      <c r="K58" t="s">
        <v>15</v>
      </c>
      <c r="L58" t="s">
        <v>16</v>
      </c>
    </row>
    <row r="59" spans="1:12">
      <c r="A59" s="3">
        <v>44974</v>
      </c>
      <c r="B59" t="s">
        <v>46</v>
      </c>
      <c r="C59" s="5">
        <v>13</v>
      </c>
      <c r="D59" s="7">
        <v>25.26</v>
      </c>
      <c r="E59" s="7">
        <f>Ventas[[#This Row],[CANTIDAD]]*Ventas[[#This Row],[PRECIO_UNIT]]</f>
        <v>328.38</v>
      </c>
      <c r="F59" s="7">
        <f>Ventas[[#This Row],[SUBTOTAL]]*0.16</f>
        <v>52.540799999999997</v>
      </c>
      <c r="G59" s="7">
        <v>-6.0799999999971988E-2</v>
      </c>
      <c r="H59" s="7">
        <f>Ventas[[#This Row],[SUBTOTAL]]+Ventas[[#This Row],[IVA]]+Ventas[[#This Row],[DESCUENTO/EXTRA]]</f>
        <v>380.86</v>
      </c>
      <c r="I59" t="s">
        <v>41</v>
      </c>
      <c r="J59" t="s">
        <v>55</v>
      </c>
      <c r="K59" t="s">
        <v>15</v>
      </c>
      <c r="L59" t="s">
        <v>16</v>
      </c>
    </row>
    <row r="60" spans="1:12">
      <c r="A60" s="3">
        <v>44975</v>
      </c>
      <c r="B60" t="s">
        <v>28</v>
      </c>
      <c r="C60" s="5">
        <v>27</v>
      </c>
      <c r="D60" s="7">
        <v>80.739999999999995</v>
      </c>
      <c r="E60" s="7">
        <f>Ventas[[#This Row],[CANTIDAD]]*Ventas[[#This Row],[PRECIO_UNIT]]</f>
        <v>2179.98</v>
      </c>
      <c r="F60" s="7">
        <f>Ventas[[#This Row],[SUBTOTAL]]*0.16</f>
        <v>348.79680000000002</v>
      </c>
      <c r="G60" s="7">
        <v>0.22319999999990614</v>
      </c>
      <c r="H60" s="7">
        <f>Ventas[[#This Row],[SUBTOTAL]]+Ventas[[#This Row],[IVA]]+Ventas[[#This Row],[DESCUENTO/EXTRA]]</f>
        <v>2529</v>
      </c>
      <c r="I60" t="s">
        <v>23</v>
      </c>
      <c r="J60" t="s">
        <v>49</v>
      </c>
      <c r="K60" t="s">
        <v>15</v>
      </c>
      <c r="L60" t="s">
        <v>16</v>
      </c>
    </row>
    <row r="61" spans="1:12">
      <c r="A61" s="3">
        <v>44976</v>
      </c>
      <c r="B61" t="s">
        <v>26</v>
      </c>
      <c r="C61" s="5">
        <v>6</v>
      </c>
      <c r="D61" s="7">
        <v>37.99</v>
      </c>
      <c r="E61" s="7">
        <f>Ventas[[#This Row],[CANTIDAD]]*Ventas[[#This Row],[PRECIO_UNIT]]</f>
        <v>227.94</v>
      </c>
      <c r="F61" s="7">
        <f>Ventas[[#This Row],[SUBTOTAL]]*0.16</f>
        <v>36.470399999999998</v>
      </c>
      <c r="G61" s="7">
        <v>-1.0400000000004184E-2</v>
      </c>
      <c r="H61" s="7">
        <f>Ventas[[#This Row],[SUBTOTAL]]+Ventas[[#This Row],[IVA]]+Ventas[[#This Row],[DESCUENTO/EXTRA]]</f>
        <v>264.39999999999998</v>
      </c>
      <c r="I61" t="s">
        <v>18</v>
      </c>
      <c r="J61" t="s">
        <v>44</v>
      </c>
      <c r="K61" t="s">
        <v>15</v>
      </c>
      <c r="L61" t="s">
        <v>16</v>
      </c>
    </row>
    <row r="62" spans="1:12">
      <c r="A62" s="3">
        <v>44978</v>
      </c>
      <c r="B62" t="s">
        <v>35</v>
      </c>
      <c r="C62" s="5">
        <v>27</v>
      </c>
      <c r="D62" s="7">
        <v>26</v>
      </c>
      <c r="E62" s="7">
        <f>Ventas[[#This Row],[CANTIDAD]]*Ventas[[#This Row],[PRECIO_UNIT]]</f>
        <v>702</v>
      </c>
      <c r="F62" s="7">
        <f>Ventas[[#This Row],[SUBTOTAL]]*0.16</f>
        <v>112.32000000000001</v>
      </c>
      <c r="G62" s="7">
        <v>3.67999999999995</v>
      </c>
      <c r="H62" s="7">
        <f>Ventas[[#This Row],[SUBTOTAL]]+Ventas[[#This Row],[IVA]]+Ventas[[#This Row],[DESCUENTO/EXTRA]]</f>
        <v>818</v>
      </c>
      <c r="I62" t="s">
        <v>32</v>
      </c>
      <c r="J62" t="s">
        <v>42</v>
      </c>
      <c r="K62" t="s">
        <v>25</v>
      </c>
      <c r="L62" t="s">
        <v>16</v>
      </c>
    </row>
    <row r="63" spans="1:12">
      <c r="A63" s="3">
        <v>44978</v>
      </c>
      <c r="B63" t="s">
        <v>17</v>
      </c>
      <c r="C63" s="5">
        <v>2</v>
      </c>
      <c r="D63" s="7">
        <v>32.67</v>
      </c>
      <c r="E63" s="7">
        <f>Ventas[[#This Row],[CANTIDAD]]*Ventas[[#This Row],[PRECIO_UNIT]]</f>
        <v>65.34</v>
      </c>
      <c r="F63" s="7">
        <f>Ventas[[#This Row],[SUBTOTAL]]*0.16</f>
        <v>10.454400000000001</v>
      </c>
      <c r="G63" s="7">
        <v>0.20559999999998979</v>
      </c>
      <c r="H63" s="7">
        <f>Ventas[[#This Row],[SUBTOTAL]]+Ventas[[#This Row],[IVA]]+Ventas[[#This Row],[DESCUENTO/EXTRA]]</f>
        <v>76</v>
      </c>
      <c r="I63" t="s">
        <v>23</v>
      </c>
      <c r="J63" t="s">
        <v>48</v>
      </c>
      <c r="K63" t="s">
        <v>25</v>
      </c>
      <c r="L63" t="s">
        <v>16</v>
      </c>
    </row>
    <row r="64" spans="1:12">
      <c r="A64" s="3">
        <v>44978</v>
      </c>
      <c r="B64" t="s">
        <v>12</v>
      </c>
      <c r="C64" s="5">
        <v>9</v>
      </c>
      <c r="D64" s="7">
        <v>53.97</v>
      </c>
      <c r="E64" s="7">
        <f>Ventas[[#This Row],[CANTIDAD]]*Ventas[[#This Row],[PRECIO_UNIT]]</f>
        <v>485.73</v>
      </c>
      <c r="F64" s="7">
        <f>Ventas[[#This Row],[SUBTOTAL]]*0.16</f>
        <v>77.716800000000006</v>
      </c>
      <c r="G64" s="7">
        <v>-0.44680000000005293</v>
      </c>
      <c r="H64" s="7">
        <f>Ventas[[#This Row],[SUBTOTAL]]+Ventas[[#This Row],[IVA]]+Ventas[[#This Row],[DESCUENTO/EXTRA]]</f>
        <v>563</v>
      </c>
      <c r="I64" t="s">
        <v>18</v>
      </c>
      <c r="J64" t="s">
        <v>52</v>
      </c>
      <c r="K64" t="s">
        <v>15</v>
      </c>
      <c r="L64" t="s">
        <v>16</v>
      </c>
    </row>
    <row r="65" spans="1:12">
      <c r="A65" s="3">
        <v>44979</v>
      </c>
      <c r="B65" t="s">
        <v>35</v>
      </c>
      <c r="C65" s="5">
        <v>15</v>
      </c>
      <c r="D65" s="7">
        <v>25.31</v>
      </c>
      <c r="E65" s="7">
        <f>Ventas[[#This Row],[CANTIDAD]]*Ventas[[#This Row],[PRECIO_UNIT]]</f>
        <v>379.65</v>
      </c>
      <c r="F65" s="7">
        <f>Ventas[[#This Row],[SUBTOTAL]]*0.16</f>
        <v>60.744</v>
      </c>
      <c r="G65" s="7">
        <v>6.5999999999974079E-2</v>
      </c>
      <c r="H65" s="7">
        <f>Ventas[[#This Row],[SUBTOTAL]]+Ventas[[#This Row],[IVA]]+Ventas[[#This Row],[DESCUENTO/EXTRA]]</f>
        <v>440.46</v>
      </c>
      <c r="I65" t="s">
        <v>23</v>
      </c>
      <c r="J65" t="s">
        <v>21</v>
      </c>
      <c r="K65" t="s">
        <v>15</v>
      </c>
      <c r="L65" t="s">
        <v>16</v>
      </c>
    </row>
    <row r="66" spans="1:12">
      <c r="A66" s="3">
        <v>44979</v>
      </c>
      <c r="B66" t="s">
        <v>37</v>
      </c>
      <c r="C66" s="5">
        <v>16</v>
      </c>
      <c r="D66" s="7">
        <v>22.93</v>
      </c>
      <c r="E66" s="7">
        <f>Ventas[[#This Row],[CANTIDAD]]*Ventas[[#This Row],[PRECIO_UNIT]]</f>
        <v>366.88</v>
      </c>
      <c r="F66" s="7">
        <f>Ventas[[#This Row],[SUBTOTAL]]*0.16</f>
        <v>58.700800000000001</v>
      </c>
      <c r="G66" s="7">
        <v>3.9199999999993906E-2</v>
      </c>
      <c r="H66" s="7">
        <f>Ventas[[#This Row],[SUBTOTAL]]+Ventas[[#This Row],[IVA]]+Ventas[[#This Row],[DESCUENTO/EXTRA]]</f>
        <v>425.62</v>
      </c>
      <c r="I66" t="s">
        <v>32</v>
      </c>
      <c r="J66" t="s">
        <v>55</v>
      </c>
      <c r="K66" t="s">
        <v>25</v>
      </c>
      <c r="L66" t="s">
        <v>16</v>
      </c>
    </row>
    <row r="67" spans="1:12">
      <c r="A67" s="3">
        <v>44979</v>
      </c>
      <c r="B67" t="s">
        <v>28</v>
      </c>
      <c r="C67" s="5">
        <v>30</v>
      </c>
      <c r="D67" s="7">
        <v>85.06</v>
      </c>
      <c r="E67" s="7">
        <f>Ventas[[#This Row],[CANTIDAD]]*Ventas[[#This Row],[PRECIO_UNIT]]</f>
        <v>2551.8000000000002</v>
      </c>
      <c r="F67" s="7">
        <f>Ventas[[#This Row],[SUBTOTAL]]*0.16</f>
        <v>408.28800000000001</v>
      </c>
      <c r="G67" s="7">
        <v>-8.8000000000192813E-2</v>
      </c>
      <c r="H67" s="7">
        <f>Ventas[[#This Row],[SUBTOTAL]]+Ventas[[#This Row],[IVA]]+Ventas[[#This Row],[DESCUENTO/EXTRA]]</f>
        <v>2960</v>
      </c>
      <c r="I67" t="s">
        <v>23</v>
      </c>
      <c r="J67" t="s">
        <v>38</v>
      </c>
      <c r="K67" t="s">
        <v>15</v>
      </c>
      <c r="L67" t="s">
        <v>16</v>
      </c>
    </row>
    <row r="68" spans="1:12">
      <c r="A68" s="3">
        <v>44980</v>
      </c>
      <c r="B68" t="s">
        <v>43</v>
      </c>
      <c r="C68" s="5">
        <v>16</v>
      </c>
      <c r="D68" s="7">
        <v>29.92</v>
      </c>
      <c r="E68" s="7">
        <f>Ventas[[#This Row],[CANTIDAD]]*Ventas[[#This Row],[PRECIO_UNIT]]</f>
        <v>478.72</v>
      </c>
      <c r="F68" s="7">
        <f>Ventas[[#This Row],[SUBTOTAL]]*0.16</f>
        <v>76.595200000000006</v>
      </c>
      <c r="G68" s="7">
        <v>4.8000000000456566E-3</v>
      </c>
      <c r="H68" s="7">
        <f>Ventas[[#This Row],[SUBTOTAL]]+Ventas[[#This Row],[IVA]]+Ventas[[#This Row],[DESCUENTO/EXTRA]]</f>
        <v>555.32000000000005</v>
      </c>
      <c r="I68" t="s">
        <v>18</v>
      </c>
      <c r="J68" t="s">
        <v>49</v>
      </c>
      <c r="K68" t="s">
        <v>15</v>
      </c>
      <c r="L68" t="s">
        <v>16</v>
      </c>
    </row>
    <row r="69" spans="1:12">
      <c r="A69" s="3">
        <v>44981</v>
      </c>
      <c r="B69" t="s">
        <v>17</v>
      </c>
      <c r="C69" s="5">
        <v>3</v>
      </c>
      <c r="D69" s="7">
        <v>35.86</v>
      </c>
      <c r="E69" s="7">
        <f>Ventas[[#This Row],[CANTIDAD]]*Ventas[[#This Row],[PRECIO_UNIT]]</f>
        <v>107.58</v>
      </c>
      <c r="F69" s="7">
        <f>Ventas[[#This Row],[SUBTOTAL]]*0.16</f>
        <v>17.212800000000001</v>
      </c>
      <c r="G69" s="7">
        <v>7.1999999999974307E-3</v>
      </c>
      <c r="H69" s="7">
        <f>Ventas[[#This Row],[SUBTOTAL]]+Ventas[[#This Row],[IVA]]+Ventas[[#This Row],[DESCUENTO/EXTRA]]</f>
        <v>124.8</v>
      </c>
      <c r="I69" t="s">
        <v>32</v>
      </c>
      <c r="J69" t="s">
        <v>50</v>
      </c>
      <c r="K69" t="s">
        <v>15</v>
      </c>
      <c r="L69" t="s">
        <v>16</v>
      </c>
    </row>
    <row r="70" spans="1:12">
      <c r="A70" s="3">
        <v>44981</v>
      </c>
      <c r="B70" t="s">
        <v>40</v>
      </c>
      <c r="C70" s="5">
        <v>25</v>
      </c>
      <c r="D70" s="7">
        <v>31.37</v>
      </c>
      <c r="E70" s="7">
        <f>Ventas[[#This Row],[CANTIDAD]]*Ventas[[#This Row],[PRECIO_UNIT]]</f>
        <v>784.25</v>
      </c>
      <c r="F70" s="7">
        <f>Ventas[[#This Row],[SUBTOTAL]]*0.16</f>
        <v>125.48</v>
      </c>
      <c r="G70" s="7">
        <v>0.11000000000001364</v>
      </c>
      <c r="H70" s="7">
        <f>Ventas[[#This Row],[SUBTOTAL]]+Ventas[[#This Row],[IVA]]+Ventas[[#This Row],[DESCUENTO/EXTRA]]</f>
        <v>909.84</v>
      </c>
      <c r="I70" t="s">
        <v>23</v>
      </c>
      <c r="J70" t="s">
        <v>52</v>
      </c>
      <c r="K70" t="s">
        <v>15</v>
      </c>
      <c r="L70" t="s">
        <v>16</v>
      </c>
    </row>
    <row r="71" spans="1:12">
      <c r="A71" s="3">
        <v>44982</v>
      </c>
      <c r="B71" t="s">
        <v>17</v>
      </c>
      <c r="C71" s="5">
        <v>22</v>
      </c>
      <c r="D71" s="7">
        <v>35</v>
      </c>
      <c r="E71" s="7">
        <f>Ventas[[#This Row],[CANTIDAD]]*Ventas[[#This Row],[PRECIO_UNIT]]</f>
        <v>770</v>
      </c>
      <c r="F71" s="7">
        <f>Ventas[[#This Row],[SUBTOTAL]]*0.16</f>
        <v>123.2</v>
      </c>
      <c r="G71" s="7">
        <v>18.799999999999955</v>
      </c>
      <c r="H71" s="7">
        <f>Ventas[[#This Row],[SUBTOTAL]]+Ventas[[#This Row],[IVA]]+Ventas[[#This Row],[DESCUENTO/EXTRA]]</f>
        <v>912</v>
      </c>
      <c r="I71" t="s">
        <v>23</v>
      </c>
      <c r="J71" t="s">
        <v>53</v>
      </c>
      <c r="K71" t="s">
        <v>25</v>
      </c>
      <c r="L71" t="s">
        <v>16</v>
      </c>
    </row>
    <row r="72" spans="1:12">
      <c r="A72" s="3">
        <v>44982</v>
      </c>
      <c r="B72" t="s">
        <v>45</v>
      </c>
      <c r="C72" s="5">
        <v>19</v>
      </c>
      <c r="D72" s="7">
        <v>45</v>
      </c>
      <c r="E72" s="7">
        <f>Ventas[[#This Row],[CANTIDAD]]*Ventas[[#This Row],[PRECIO_UNIT]]</f>
        <v>855</v>
      </c>
      <c r="F72" s="7">
        <f>Ventas[[#This Row],[SUBTOTAL]]*0.16</f>
        <v>136.80000000000001</v>
      </c>
      <c r="G72" s="7">
        <v>-4.2400000000000091</v>
      </c>
      <c r="H72" s="7">
        <f>Ventas[[#This Row],[SUBTOTAL]]+Ventas[[#This Row],[IVA]]+Ventas[[#This Row],[DESCUENTO/EXTRA]]</f>
        <v>987.56</v>
      </c>
      <c r="I72" t="s">
        <v>18</v>
      </c>
      <c r="J72" t="s">
        <v>39</v>
      </c>
      <c r="K72" t="s">
        <v>25</v>
      </c>
      <c r="L72" t="s">
        <v>16</v>
      </c>
    </row>
    <row r="73" spans="1:12">
      <c r="A73" s="3">
        <v>44982</v>
      </c>
      <c r="B73" t="s">
        <v>35</v>
      </c>
      <c r="C73" s="5">
        <v>20</v>
      </c>
      <c r="D73" s="7">
        <v>25.13</v>
      </c>
      <c r="E73" s="7">
        <f>Ventas[[#This Row],[CANTIDAD]]*Ventas[[#This Row],[PRECIO_UNIT]]</f>
        <v>502.59999999999997</v>
      </c>
      <c r="F73" s="7">
        <f>Ventas[[#This Row],[SUBTOTAL]]*0.16</f>
        <v>80.415999999999997</v>
      </c>
      <c r="G73" s="7">
        <v>-1.5999999999962711E-2</v>
      </c>
      <c r="H73" s="7">
        <f>Ventas[[#This Row],[SUBTOTAL]]+Ventas[[#This Row],[IVA]]+Ventas[[#This Row],[DESCUENTO/EXTRA]]</f>
        <v>583</v>
      </c>
      <c r="I73" t="s">
        <v>13</v>
      </c>
      <c r="J73" t="s">
        <v>48</v>
      </c>
      <c r="K73" t="s">
        <v>15</v>
      </c>
      <c r="L73" t="s">
        <v>16</v>
      </c>
    </row>
    <row r="74" spans="1:12">
      <c r="A74" s="3">
        <v>44983</v>
      </c>
      <c r="B74" t="s">
        <v>45</v>
      </c>
      <c r="C74" s="5">
        <v>16</v>
      </c>
      <c r="D74" s="7">
        <v>48.35</v>
      </c>
      <c r="E74" s="7">
        <f>Ventas[[#This Row],[CANTIDAD]]*Ventas[[#This Row],[PRECIO_UNIT]]</f>
        <v>773.6</v>
      </c>
      <c r="F74" s="7">
        <f>Ventas[[#This Row],[SUBTOTAL]]*0.16</f>
        <v>123.77600000000001</v>
      </c>
      <c r="G74" s="7">
        <v>6.4000000000078217E-2</v>
      </c>
      <c r="H74" s="7">
        <f>Ventas[[#This Row],[SUBTOTAL]]+Ventas[[#This Row],[IVA]]+Ventas[[#This Row],[DESCUENTO/EXTRA]]</f>
        <v>897.44</v>
      </c>
      <c r="I74" t="s">
        <v>32</v>
      </c>
      <c r="J74" t="s">
        <v>14</v>
      </c>
      <c r="K74" t="s">
        <v>15</v>
      </c>
      <c r="L74" t="s">
        <v>16</v>
      </c>
    </row>
    <row r="75" spans="1:12">
      <c r="A75" s="3">
        <v>44983</v>
      </c>
      <c r="B75" t="s">
        <v>43</v>
      </c>
      <c r="C75" s="5">
        <v>13</v>
      </c>
      <c r="D75" s="7">
        <v>27.15</v>
      </c>
      <c r="E75" s="7">
        <f>Ventas[[#This Row],[CANTIDAD]]*Ventas[[#This Row],[PRECIO_UNIT]]</f>
        <v>352.95</v>
      </c>
      <c r="F75" s="7">
        <f>Ventas[[#This Row],[SUBTOTAL]]*0.16</f>
        <v>56.472000000000001</v>
      </c>
      <c r="G75" s="7">
        <v>4.8000000000058662E-2</v>
      </c>
      <c r="H75" s="7">
        <f>Ventas[[#This Row],[SUBTOTAL]]+Ventas[[#This Row],[IVA]]+Ventas[[#This Row],[DESCUENTO/EXTRA]]</f>
        <v>409.47</v>
      </c>
      <c r="I75" t="s">
        <v>18</v>
      </c>
      <c r="J75" t="s">
        <v>29</v>
      </c>
      <c r="K75" t="s">
        <v>15</v>
      </c>
      <c r="L75" t="s">
        <v>16</v>
      </c>
    </row>
    <row r="76" spans="1:12">
      <c r="A76" s="3">
        <v>44984</v>
      </c>
      <c r="B76" t="s">
        <v>46</v>
      </c>
      <c r="C76" s="5">
        <v>10</v>
      </c>
      <c r="D76" s="7">
        <v>25.59</v>
      </c>
      <c r="E76" s="7">
        <f>Ventas[[#This Row],[CANTIDAD]]*Ventas[[#This Row],[PRECIO_UNIT]]</f>
        <v>255.9</v>
      </c>
      <c r="F76" s="7">
        <f>Ventas[[#This Row],[SUBTOTAL]]*0.16</f>
        <v>40.944000000000003</v>
      </c>
      <c r="G76" s="7">
        <v>0.15600000000000591</v>
      </c>
      <c r="H76" s="7">
        <f>Ventas[[#This Row],[SUBTOTAL]]+Ventas[[#This Row],[IVA]]+Ventas[[#This Row],[DESCUENTO/EXTRA]]</f>
        <v>297</v>
      </c>
      <c r="I76" t="s">
        <v>18</v>
      </c>
      <c r="J76" t="s">
        <v>51</v>
      </c>
      <c r="K76" t="s">
        <v>15</v>
      </c>
      <c r="L76" t="s">
        <v>16</v>
      </c>
    </row>
    <row r="77" spans="1:12">
      <c r="A77" s="3">
        <v>44984</v>
      </c>
      <c r="B77" t="s">
        <v>35</v>
      </c>
      <c r="C77" s="5">
        <v>25</v>
      </c>
      <c r="D77" s="7">
        <v>27.1</v>
      </c>
      <c r="E77" s="7">
        <f>Ventas[[#This Row],[CANTIDAD]]*Ventas[[#This Row],[PRECIO_UNIT]]</f>
        <v>677.5</v>
      </c>
      <c r="F77" s="7">
        <f>Ventas[[#This Row],[SUBTOTAL]]*0.16</f>
        <v>108.4</v>
      </c>
      <c r="G77" s="7">
        <v>-0.10000000000002274</v>
      </c>
      <c r="H77" s="7">
        <f>Ventas[[#This Row],[SUBTOTAL]]+Ventas[[#This Row],[IVA]]+Ventas[[#This Row],[DESCUENTO/EXTRA]]</f>
        <v>785.8</v>
      </c>
      <c r="I77" t="s">
        <v>18</v>
      </c>
      <c r="J77" t="s">
        <v>36</v>
      </c>
      <c r="K77" t="s">
        <v>15</v>
      </c>
      <c r="L77" t="s">
        <v>16</v>
      </c>
    </row>
    <row r="78" spans="1:12">
      <c r="A78" s="3">
        <v>44989</v>
      </c>
      <c r="B78" t="s">
        <v>43</v>
      </c>
      <c r="C78" s="5">
        <v>16</v>
      </c>
      <c r="D78" s="7">
        <v>29</v>
      </c>
      <c r="E78" s="7">
        <f>Ventas[[#This Row],[CANTIDAD]]*Ventas[[#This Row],[PRECIO_UNIT]]</f>
        <v>464</v>
      </c>
      <c r="F78" s="7">
        <f>Ventas[[#This Row],[SUBTOTAL]]*0.16</f>
        <v>74.239999999999995</v>
      </c>
      <c r="G78" s="7">
        <v>-7.2400000000000091</v>
      </c>
      <c r="H78" s="7">
        <f>Ventas[[#This Row],[SUBTOTAL]]+Ventas[[#This Row],[IVA]]+Ventas[[#This Row],[DESCUENTO/EXTRA]]</f>
        <v>531</v>
      </c>
      <c r="I78" t="s">
        <v>23</v>
      </c>
      <c r="J78" t="s">
        <v>42</v>
      </c>
      <c r="K78" t="s">
        <v>25</v>
      </c>
      <c r="L78" t="s">
        <v>16</v>
      </c>
    </row>
    <row r="79" spans="1:12">
      <c r="A79" s="3">
        <v>44989</v>
      </c>
      <c r="B79" t="s">
        <v>37</v>
      </c>
      <c r="C79" s="5">
        <v>21</v>
      </c>
      <c r="D79" s="7">
        <v>24</v>
      </c>
      <c r="E79" s="7">
        <f>Ventas[[#This Row],[CANTIDAD]]*Ventas[[#This Row],[PRECIO_UNIT]]</f>
        <v>504</v>
      </c>
      <c r="F79" s="7">
        <f>Ventas[[#This Row],[SUBTOTAL]]*0.16</f>
        <v>80.64</v>
      </c>
      <c r="G79" s="7">
        <v>1.2599999999999909</v>
      </c>
      <c r="H79" s="7">
        <f>Ventas[[#This Row],[SUBTOTAL]]+Ventas[[#This Row],[IVA]]+Ventas[[#This Row],[DESCUENTO/EXTRA]]</f>
        <v>585.9</v>
      </c>
      <c r="I79" t="s">
        <v>23</v>
      </c>
      <c r="J79" t="s">
        <v>30</v>
      </c>
      <c r="K79" t="s">
        <v>25</v>
      </c>
      <c r="L79" t="s">
        <v>16</v>
      </c>
    </row>
    <row r="80" spans="1:12">
      <c r="A80" s="3">
        <v>44991</v>
      </c>
      <c r="B80" t="s">
        <v>26</v>
      </c>
      <c r="C80" s="5">
        <v>8</v>
      </c>
      <c r="D80" s="7">
        <v>40.630000000000003</v>
      </c>
      <c r="E80" s="7">
        <f>Ventas[[#This Row],[CANTIDAD]]*Ventas[[#This Row],[PRECIO_UNIT]]</f>
        <v>325.04000000000002</v>
      </c>
      <c r="F80" s="7">
        <f>Ventas[[#This Row],[SUBTOTAL]]*0.16</f>
        <v>52.006400000000006</v>
      </c>
      <c r="G80" s="7">
        <v>-2.6400000000023738E-2</v>
      </c>
      <c r="H80" s="7">
        <f>Ventas[[#This Row],[SUBTOTAL]]+Ventas[[#This Row],[IVA]]+Ventas[[#This Row],[DESCUENTO/EXTRA]]</f>
        <v>377.02</v>
      </c>
      <c r="I80" t="s">
        <v>23</v>
      </c>
      <c r="J80" t="s">
        <v>55</v>
      </c>
      <c r="K80" t="s">
        <v>25</v>
      </c>
      <c r="L80" t="s">
        <v>16</v>
      </c>
    </row>
    <row r="81" spans="1:12">
      <c r="A81" s="3">
        <v>44993</v>
      </c>
      <c r="B81" t="s">
        <v>22</v>
      </c>
      <c r="C81" s="5">
        <v>1</v>
      </c>
      <c r="D81" s="7">
        <v>21.03</v>
      </c>
      <c r="E81" s="7">
        <f>Ventas[[#This Row],[CANTIDAD]]*Ventas[[#This Row],[PRECIO_UNIT]]</f>
        <v>21.03</v>
      </c>
      <c r="F81" s="7">
        <f>Ventas[[#This Row],[SUBTOTAL]]*0.16</f>
        <v>3.3648000000000002</v>
      </c>
      <c r="G81" s="7">
        <v>-4.7999999999994714E-3</v>
      </c>
      <c r="H81" s="7">
        <f>Ventas[[#This Row],[SUBTOTAL]]+Ventas[[#This Row],[IVA]]+Ventas[[#This Row],[DESCUENTO/EXTRA]]</f>
        <v>24.39</v>
      </c>
      <c r="I81" t="s">
        <v>32</v>
      </c>
      <c r="J81" t="s">
        <v>38</v>
      </c>
      <c r="K81" t="s">
        <v>25</v>
      </c>
      <c r="L81" t="s">
        <v>16</v>
      </c>
    </row>
    <row r="82" spans="1:12">
      <c r="A82" s="3">
        <v>44994</v>
      </c>
      <c r="B82" t="s">
        <v>35</v>
      </c>
      <c r="C82" s="5">
        <v>4</v>
      </c>
      <c r="D82" s="7">
        <v>25.58</v>
      </c>
      <c r="E82" s="7">
        <f>Ventas[[#This Row],[CANTIDAD]]*Ventas[[#This Row],[PRECIO_UNIT]]</f>
        <v>102.32</v>
      </c>
      <c r="F82" s="7">
        <f>Ventas[[#This Row],[SUBTOTAL]]*0.16</f>
        <v>16.371199999999998</v>
      </c>
      <c r="G82" s="7">
        <v>0.30880000000000507</v>
      </c>
      <c r="H82" s="7">
        <f>Ventas[[#This Row],[SUBTOTAL]]+Ventas[[#This Row],[IVA]]+Ventas[[#This Row],[DESCUENTO/EXTRA]]</f>
        <v>119</v>
      </c>
      <c r="I82" t="s">
        <v>23</v>
      </c>
      <c r="J82" t="s">
        <v>24</v>
      </c>
      <c r="K82" t="s">
        <v>15</v>
      </c>
      <c r="L82" t="s">
        <v>16</v>
      </c>
    </row>
    <row r="83" spans="1:12">
      <c r="A83" s="3">
        <v>44994</v>
      </c>
      <c r="B83" t="s">
        <v>12</v>
      </c>
      <c r="C83" s="5">
        <v>15</v>
      </c>
      <c r="D83" s="7">
        <v>55.71</v>
      </c>
      <c r="E83" s="7">
        <f>Ventas[[#This Row],[CANTIDAD]]*Ventas[[#This Row],[PRECIO_UNIT]]</f>
        <v>835.65</v>
      </c>
      <c r="F83" s="7">
        <f>Ventas[[#This Row],[SUBTOTAL]]*0.16</f>
        <v>133.70400000000001</v>
      </c>
      <c r="G83" s="7">
        <v>3.5999999999944521E-2</v>
      </c>
      <c r="H83" s="7">
        <f>Ventas[[#This Row],[SUBTOTAL]]+Ventas[[#This Row],[IVA]]+Ventas[[#This Row],[DESCUENTO/EXTRA]]</f>
        <v>969.39</v>
      </c>
      <c r="I83" t="s">
        <v>13</v>
      </c>
      <c r="J83" t="s">
        <v>54</v>
      </c>
      <c r="K83" t="s">
        <v>25</v>
      </c>
      <c r="L83" t="s">
        <v>16</v>
      </c>
    </row>
    <row r="84" spans="1:12">
      <c r="A84" s="3">
        <v>44998</v>
      </c>
      <c r="B84" t="s">
        <v>28</v>
      </c>
      <c r="C84" s="5">
        <v>15</v>
      </c>
      <c r="D84" s="7">
        <v>79</v>
      </c>
      <c r="E84" s="7">
        <f>Ventas[[#This Row],[CANTIDAD]]*Ventas[[#This Row],[PRECIO_UNIT]]</f>
        <v>1185</v>
      </c>
      <c r="F84" s="7">
        <f>Ventas[[#This Row],[SUBTOTAL]]*0.16</f>
        <v>189.6</v>
      </c>
      <c r="G84" s="7">
        <v>-6.209999999999809</v>
      </c>
      <c r="H84" s="7">
        <f>Ventas[[#This Row],[SUBTOTAL]]+Ventas[[#This Row],[IVA]]+Ventas[[#This Row],[DESCUENTO/EXTRA]]</f>
        <v>1368.39</v>
      </c>
      <c r="I84" t="s">
        <v>18</v>
      </c>
      <c r="J84" t="s">
        <v>48</v>
      </c>
      <c r="K84" t="s">
        <v>15</v>
      </c>
      <c r="L84" t="s">
        <v>16</v>
      </c>
    </row>
    <row r="85" spans="1:12">
      <c r="A85" s="3">
        <v>44998</v>
      </c>
      <c r="B85" t="s">
        <v>20</v>
      </c>
      <c r="C85" s="5">
        <v>25</v>
      </c>
      <c r="D85" s="7">
        <v>12.02</v>
      </c>
      <c r="E85" s="7">
        <f>Ventas[[#This Row],[CANTIDAD]]*Ventas[[#This Row],[PRECIO_UNIT]]</f>
        <v>300.5</v>
      </c>
      <c r="F85" s="7">
        <f>Ventas[[#This Row],[SUBTOTAL]]*0.16</f>
        <v>48.08</v>
      </c>
      <c r="G85" s="7">
        <v>-6.9999999999993179E-2</v>
      </c>
      <c r="H85" s="7">
        <f>Ventas[[#This Row],[SUBTOTAL]]+Ventas[[#This Row],[IVA]]+Ventas[[#This Row],[DESCUENTO/EXTRA]]</f>
        <v>348.51</v>
      </c>
      <c r="I85" t="s">
        <v>23</v>
      </c>
      <c r="J85" t="s">
        <v>53</v>
      </c>
      <c r="K85" t="s">
        <v>25</v>
      </c>
      <c r="L85" t="s">
        <v>16</v>
      </c>
    </row>
    <row r="86" spans="1:12">
      <c r="A86" s="3">
        <v>44999</v>
      </c>
      <c r="B86" t="s">
        <v>45</v>
      </c>
      <c r="C86" s="5">
        <v>12</v>
      </c>
      <c r="D86" s="7">
        <v>46.08</v>
      </c>
      <c r="E86" s="7">
        <f>Ventas[[#This Row],[CANTIDAD]]*Ventas[[#This Row],[PRECIO_UNIT]]</f>
        <v>552.96</v>
      </c>
      <c r="F86" s="7">
        <f>Ventas[[#This Row],[SUBTOTAL]]*0.16</f>
        <v>88.473600000000005</v>
      </c>
      <c r="G86" s="7">
        <v>-0.43360000000006949</v>
      </c>
      <c r="H86" s="7">
        <f>Ventas[[#This Row],[SUBTOTAL]]+Ventas[[#This Row],[IVA]]+Ventas[[#This Row],[DESCUENTO/EXTRA]]</f>
        <v>641</v>
      </c>
      <c r="I86" t="s">
        <v>18</v>
      </c>
      <c r="J86" t="s">
        <v>21</v>
      </c>
      <c r="K86" t="s">
        <v>15</v>
      </c>
      <c r="L86" t="s">
        <v>16</v>
      </c>
    </row>
    <row r="87" spans="1:12">
      <c r="A87" s="3">
        <v>44999</v>
      </c>
      <c r="B87" t="s">
        <v>17</v>
      </c>
      <c r="C87" s="5">
        <v>25</v>
      </c>
      <c r="D87" s="7">
        <v>34.99</v>
      </c>
      <c r="E87" s="7">
        <f>Ventas[[#This Row],[CANTIDAD]]*Ventas[[#This Row],[PRECIO_UNIT]]</f>
        <v>874.75</v>
      </c>
      <c r="F87" s="7">
        <f>Ventas[[#This Row],[SUBTOTAL]]*0.16</f>
        <v>139.96</v>
      </c>
      <c r="G87" s="7">
        <v>0.28999999999996362</v>
      </c>
      <c r="H87" s="7">
        <f>Ventas[[#This Row],[SUBTOTAL]]+Ventas[[#This Row],[IVA]]+Ventas[[#This Row],[DESCUENTO/EXTRA]]</f>
        <v>1015</v>
      </c>
      <c r="I87" t="s">
        <v>18</v>
      </c>
      <c r="J87" t="s">
        <v>52</v>
      </c>
      <c r="K87" t="s">
        <v>25</v>
      </c>
      <c r="L87" t="s">
        <v>16</v>
      </c>
    </row>
    <row r="88" spans="1:12">
      <c r="A88" s="3">
        <v>45006</v>
      </c>
      <c r="B88" t="s">
        <v>17</v>
      </c>
      <c r="C88" s="5">
        <v>10</v>
      </c>
      <c r="D88" s="7">
        <v>32.74</v>
      </c>
      <c r="E88" s="7">
        <f>Ventas[[#This Row],[CANTIDAD]]*Ventas[[#This Row],[PRECIO_UNIT]]</f>
        <v>327.40000000000003</v>
      </c>
      <c r="F88" s="7">
        <f>Ventas[[#This Row],[SUBTOTAL]]*0.16</f>
        <v>52.384000000000007</v>
      </c>
      <c r="G88" s="7">
        <v>0.21599999999995134</v>
      </c>
      <c r="H88" s="7">
        <f>Ventas[[#This Row],[SUBTOTAL]]+Ventas[[#This Row],[IVA]]+Ventas[[#This Row],[DESCUENTO/EXTRA]]</f>
        <v>380</v>
      </c>
      <c r="I88" t="s">
        <v>18</v>
      </c>
      <c r="J88" t="s">
        <v>48</v>
      </c>
      <c r="K88" t="s">
        <v>15</v>
      </c>
      <c r="L88" t="s">
        <v>16</v>
      </c>
    </row>
    <row r="89" spans="1:12">
      <c r="A89" s="3">
        <v>45006</v>
      </c>
      <c r="B89" t="s">
        <v>12</v>
      </c>
      <c r="C89" s="5">
        <v>1</v>
      </c>
      <c r="D89" s="7">
        <v>57.96</v>
      </c>
      <c r="E89" s="7">
        <f>Ventas[[#This Row],[CANTIDAD]]*Ventas[[#This Row],[PRECIO_UNIT]]</f>
        <v>57.96</v>
      </c>
      <c r="F89" s="7">
        <f>Ventas[[#This Row],[SUBTOTAL]]*0.16</f>
        <v>9.2736000000000001</v>
      </c>
      <c r="G89" s="7">
        <v>-3.5999999999916099E-3</v>
      </c>
      <c r="H89" s="7">
        <f>Ventas[[#This Row],[SUBTOTAL]]+Ventas[[#This Row],[IVA]]+Ventas[[#This Row],[DESCUENTO/EXTRA]]</f>
        <v>67.23</v>
      </c>
      <c r="I89" t="s">
        <v>18</v>
      </c>
      <c r="J89" t="s">
        <v>56</v>
      </c>
      <c r="K89" t="s">
        <v>15</v>
      </c>
      <c r="L89" t="s">
        <v>16</v>
      </c>
    </row>
    <row r="90" spans="1:12">
      <c r="A90" s="3">
        <v>45007</v>
      </c>
      <c r="B90" t="s">
        <v>43</v>
      </c>
      <c r="C90" s="5">
        <v>3</v>
      </c>
      <c r="D90" s="7">
        <v>27.57</v>
      </c>
      <c r="E90" s="7">
        <f>Ventas[[#This Row],[CANTIDAD]]*Ventas[[#This Row],[PRECIO_UNIT]]</f>
        <v>82.710000000000008</v>
      </c>
      <c r="F90" s="7">
        <f>Ventas[[#This Row],[SUBTOTAL]]*0.16</f>
        <v>13.233600000000001</v>
      </c>
      <c r="G90" s="7">
        <v>1.63999999999902E-2</v>
      </c>
      <c r="H90" s="7">
        <f>Ventas[[#This Row],[SUBTOTAL]]+Ventas[[#This Row],[IVA]]+Ventas[[#This Row],[DESCUENTO/EXTRA]]</f>
        <v>95.96</v>
      </c>
      <c r="I90" t="s">
        <v>23</v>
      </c>
      <c r="J90" t="s">
        <v>53</v>
      </c>
      <c r="K90" t="s">
        <v>15</v>
      </c>
      <c r="L90" t="s">
        <v>16</v>
      </c>
    </row>
    <row r="91" spans="1:12">
      <c r="A91" s="3">
        <v>45009</v>
      </c>
      <c r="B91" t="s">
        <v>35</v>
      </c>
      <c r="C91" s="5">
        <v>25</v>
      </c>
      <c r="D91" s="7">
        <v>25</v>
      </c>
      <c r="E91" s="7">
        <f>Ventas[[#This Row],[CANTIDAD]]*Ventas[[#This Row],[PRECIO_UNIT]]</f>
        <v>625</v>
      </c>
      <c r="F91" s="7">
        <f>Ventas[[#This Row],[SUBTOTAL]]*0.16</f>
        <v>100</v>
      </c>
      <c r="G91" s="7">
        <v>12</v>
      </c>
      <c r="H91" s="7">
        <f>Ventas[[#This Row],[SUBTOTAL]]+Ventas[[#This Row],[IVA]]+Ventas[[#This Row],[DESCUENTO/EXTRA]]</f>
        <v>737</v>
      </c>
      <c r="I91" t="s">
        <v>18</v>
      </c>
      <c r="J91" t="s">
        <v>24</v>
      </c>
      <c r="K91" t="s">
        <v>15</v>
      </c>
      <c r="L91" t="s">
        <v>16</v>
      </c>
    </row>
    <row r="92" spans="1:12">
      <c r="A92" s="3">
        <v>45009</v>
      </c>
      <c r="B92" t="s">
        <v>45</v>
      </c>
      <c r="C92" s="5">
        <v>7</v>
      </c>
      <c r="D92" s="7">
        <v>48.55</v>
      </c>
      <c r="E92" s="7">
        <f>Ventas[[#This Row],[CANTIDAD]]*Ventas[[#This Row],[PRECIO_UNIT]]</f>
        <v>339.84999999999997</v>
      </c>
      <c r="F92" s="7">
        <f>Ventas[[#This Row],[SUBTOTAL]]*0.16</f>
        <v>54.375999999999998</v>
      </c>
      <c r="G92" s="7">
        <v>2.4000000000057753E-2</v>
      </c>
      <c r="H92" s="7">
        <f>Ventas[[#This Row],[SUBTOTAL]]+Ventas[[#This Row],[IVA]]+Ventas[[#This Row],[DESCUENTO/EXTRA]]</f>
        <v>394.25</v>
      </c>
      <c r="I92" t="s">
        <v>18</v>
      </c>
      <c r="J92" t="s">
        <v>42</v>
      </c>
      <c r="K92" t="s">
        <v>15</v>
      </c>
      <c r="L92" t="s">
        <v>16</v>
      </c>
    </row>
    <row r="93" spans="1:12">
      <c r="A93" s="3">
        <v>45010</v>
      </c>
      <c r="B93" t="s">
        <v>40</v>
      </c>
      <c r="C93" s="5">
        <v>25</v>
      </c>
      <c r="D93" s="7">
        <v>35.25</v>
      </c>
      <c r="E93" s="7">
        <f>Ventas[[#This Row],[CANTIDAD]]*Ventas[[#This Row],[PRECIO_UNIT]]</f>
        <v>881.25</v>
      </c>
      <c r="F93" s="7">
        <f>Ventas[[#This Row],[SUBTOTAL]]*0.16</f>
        <v>141</v>
      </c>
      <c r="G93" s="7">
        <v>-0.11000000000001364</v>
      </c>
      <c r="H93" s="7">
        <f>Ventas[[#This Row],[SUBTOTAL]]+Ventas[[#This Row],[IVA]]+Ventas[[#This Row],[DESCUENTO/EXTRA]]</f>
        <v>1022.14</v>
      </c>
      <c r="I93" t="s">
        <v>18</v>
      </c>
      <c r="J93" t="s">
        <v>21</v>
      </c>
      <c r="K93" t="s">
        <v>15</v>
      </c>
      <c r="L93" t="s">
        <v>16</v>
      </c>
    </row>
    <row r="94" spans="1:12">
      <c r="A94" s="3">
        <v>45011</v>
      </c>
      <c r="B94" t="s">
        <v>37</v>
      </c>
      <c r="C94" s="5">
        <v>22</v>
      </c>
      <c r="D94" s="7">
        <v>22.19</v>
      </c>
      <c r="E94" s="7">
        <f>Ventas[[#This Row],[CANTIDAD]]*Ventas[[#This Row],[PRECIO_UNIT]]</f>
        <v>488.18</v>
      </c>
      <c r="F94" s="7">
        <f>Ventas[[#This Row],[SUBTOTAL]]*0.16</f>
        <v>78.108800000000002</v>
      </c>
      <c r="G94" s="7">
        <v>-4.8800000000028376E-2</v>
      </c>
      <c r="H94" s="7">
        <f>Ventas[[#This Row],[SUBTOTAL]]+Ventas[[#This Row],[IVA]]+Ventas[[#This Row],[DESCUENTO/EXTRA]]</f>
        <v>566.24</v>
      </c>
      <c r="I94" t="s">
        <v>23</v>
      </c>
      <c r="J94" t="s">
        <v>38</v>
      </c>
      <c r="K94" t="s">
        <v>25</v>
      </c>
      <c r="L94" t="s">
        <v>16</v>
      </c>
    </row>
    <row r="95" spans="1:12">
      <c r="A95" s="3">
        <v>45012</v>
      </c>
      <c r="B95" t="s">
        <v>37</v>
      </c>
      <c r="C95" s="5">
        <v>28</v>
      </c>
      <c r="D95" s="7">
        <v>23.77</v>
      </c>
      <c r="E95" s="7">
        <f>Ventas[[#This Row],[CANTIDAD]]*Ventas[[#This Row],[PRECIO_UNIT]]</f>
        <v>665.56</v>
      </c>
      <c r="F95" s="7">
        <f>Ventas[[#This Row],[SUBTOTAL]]*0.16</f>
        <v>106.4896</v>
      </c>
      <c r="G95" s="7">
        <v>-4.9599999999941247E-2</v>
      </c>
      <c r="H95" s="7">
        <f>Ventas[[#This Row],[SUBTOTAL]]+Ventas[[#This Row],[IVA]]+Ventas[[#This Row],[DESCUENTO/EXTRA]]</f>
        <v>772</v>
      </c>
      <c r="I95" t="s">
        <v>13</v>
      </c>
      <c r="J95" t="s">
        <v>50</v>
      </c>
      <c r="K95" t="s">
        <v>15</v>
      </c>
      <c r="L95" t="s">
        <v>16</v>
      </c>
    </row>
    <row r="96" spans="1:12">
      <c r="A96" s="3">
        <v>45012</v>
      </c>
      <c r="B96" t="s">
        <v>12</v>
      </c>
      <c r="C96" s="5">
        <v>11</v>
      </c>
      <c r="D96" s="7">
        <v>54.4</v>
      </c>
      <c r="E96" s="7">
        <f>Ventas[[#This Row],[CANTIDAD]]*Ventas[[#This Row],[PRECIO_UNIT]]</f>
        <v>598.4</v>
      </c>
      <c r="F96" s="7">
        <f>Ventas[[#This Row],[SUBTOTAL]]*0.16</f>
        <v>95.744</v>
      </c>
      <c r="G96" s="7">
        <v>-3.3999999999991815E-2</v>
      </c>
      <c r="H96" s="7">
        <f>Ventas[[#This Row],[SUBTOTAL]]+Ventas[[#This Row],[IVA]]+Ventas[[#This Row],[DESCUENTO/EXTRA]]</f>
        <v>694.11</v>
      </c>
      <c r="I96" t="s">
        <v>13</v>
      </c>
      <c r="J96" t="s">
        <v>49</v>
      </c>
      <c r="K96" t="s">
        <v>15</v>
      </c>
      <c r="L96" t="s">
        <v>16</v>
      </c>
    </row>
    <row r="97" spans="1:12">
      <c r="A97" s="3">
        <v>45012</v>
      </c>
      <c r="B97" t="s">
        <v>28</v>
      </c>
      <c r="C97" s="5">
        <v>21</v>
      </c>
      <c r="D97" s="7">
        <v>82.6</v>
      </c>
      <c r="E97" s="7">
        <f>Ventas[[#This Row],[CANTIDAD]]*Ventas[[#This Row],[PRECIO_UNIT]]</f>
        <v>1734.6</v>
      </c>
      <c r="F97" s="7">
        <f>Ventas[[#This Row],[SUBTOTAL]]*0.16</f>
        <v>277.536</v>
      </c>
      <c r="G97" s="7">
        <v>-0.10599999999999454</v>
      </c>
      <c r="H97" s="7">
        <f>Ventas[[#This Row],[SUBTOTAL]]+Ventas[[#This Row],[IVA]]+Ventas[[#This Row],[DESCUENTO/EXTRA]]</f>
        <v>2012.03</v>
      </c>
      <c r="I97" t="s">
        <v>23</v>
      </c>
      <c r="J97" t="s">
        <v>38</v>
      </c>
      <c r="K97" t="s">
        <v>25</v>
      </c>
      <c r="L97" t="s">
        <v>16</v>
      </c>
    </row>
    <row r="98" spans="1:12">
      <c r="A98" s="3">
        <v>45013</v>
      </c>
      <c r="B98" t="s">
        <v>43</v>
      </c>
      <c r="C98" s="5">
        <v>15</v>
      </c>
      <c r="D98" s="7">
        <v>30.58</v>
      </c>
      <c r="E98" s="7">
        <f>Ventas[[#This Row],[CANTIDAD]]*Ventas[[#This Row],[PRECIO_UNIT]]</f>
        <v>458.7</v>
      </c>
      <c r="F98" s="7">
        <f>Ventas[[#This Row],[SUBTOTAL]]*0.16</f>
        <v>73.391999999999996</v>
      </c>
      <c r="G98" s="7">
        <v>-3.2000000000039108E-2</v>
      </c>
      <c r="H98" s="7">
        <f>Ventas[[#This Row],[SUBTOTAL]]+Ventas[[#This Row],[IVA]]+Ventas[[#This Row],[DESCUENTO/EXTRA]]</f>
        <v>532.05999999999995</v>
      </c>
      <c r="I98" t="s">
        <v>32</v>
      </c>
      <c r="J98" t="s">
        <v>38</v>
      </c>
      <c r="K98" t="s">
        <v>15</v>
      </c>
      <c r="L98" t="s">
        <v>16</v>
      </c>
    </row>
    <row r="99" spans="1:12">
      <c r="A99" s="3">
        <v>45013</v>
      </c>
      <c r="B99" t="s">
        <v>22</v>
      </c>
      <c r="C99" s="5">
        <v>13</v>
      </c>
      <c r="D99" s="7">
        <v>22.38</v>
      </c>
      <c r="E99" s="7">
        <f>Ventas[[#This Row],[CANTIDAD]]*Ventas[[#This Row],[PRECIO_UNIT]]</f>
        <v>290.94</v>
      </c>
      <c r="F99" s="7">
        <f>Ventas[[#This Row],[SUBTOTAL]]*0.16</f>
        <v>46.550400000000003</v>
      </c>
      <c r="G99" s="7">
        <v>-0.49040000000002237</v>
      </c>
      <c r="H99" s="7">
        <f>Ventas[[#This Row],[SUBTOTAL]]+Ventas[[#This Row],[IVA]]+Ventas[[#This Row],[DESCUENTO/EXTRA]]</f>
        <v>337</v>
      </c>
      <c r="I99" t="s">
        <v>41</v>
      </c>
      <c r="J99" t="s">
        <v>14</v>
      </c>
      <c r="K99" t="s">
        <v>15</v>
      </c>
      <c r="L99" t="s">
        <v>16</v>
      </c>
    </row>
    <row r="100" spans="1:12">
      <c r="A100" s="3">
        <v>45013</v>
      </c>
      <c r="B100" t="s">
        <v>43</v>
      </c>
      <c r="C100" s="5">
        <v>27</v>
      </c>
      <c r="D100" s="7">
        <v>29.57</v>
      </c>
      <c r="E100" s="7">
        <f>Ventas[[#This Row],[CANTIDAD]]*Ventas[[#This Row],[PRECIO_UNIT]]</f>
        <v>798.39</v>
      </c>
      <c r="F100" s="7">
        <f>Ventas[[#This Row],[SUBTOTAL]]*0.16</f>
        <v>127.7424</v>
      </c>
      <c r="G100" s="7">
        <v>-7.2400000000016007E-2</v>
      </c>
      <c r="H100" s="7">
        <f>Ventas[[#This Row],[SUBTOTAL]]+Ventas[[#This Row],[IVA]]+Ventas[[#This Row],[DESCUENTO/EXTRA]]</f>
        <v>926.06</v>
      </c>
      <c r="I100" t="s">
        <v>41</v>
      </c>
      <c r="J100" t="s">
        <v>19</v>
      </c>
      <c r="K100" t="s">
        <v>15</v>
      </c>
      <c r="L100" t="s">
        <v>16</v>
      </c>
    </row>
    <row r="101" spans="1:12">
      <c r="A101" s="3">
        <v>45014</v>
      </c>
      <c r="B101" t="s">
        <v>22</v>
      </c>
      <c r="C101" s="5">
        <v>4</v>
      </c>
      <c r="D101" s="7">
        <v>23</v>
      </c>
      <c r="E101" s="7">
        <f>Ventas[[#This Row],[CANTIDAD]]*Ventas[[#This Row],[PRECIO_UNIT]]</f>
        <v>92</v>
      </c>
      <c r="F101" s="7">
        <f>Ventas[[#This Row],[SUBTOTAL]]*0.16</f>
        <v>14.72</v>
      </c>
      <c r="G101" s="7">
        <v>-0.71999999999999886</v>
      </c>
      <c r="H101" s="7">
        <f>Ventas[[#This Row],[SUBTOTAL]]+Ventas[[#This Row],[IVA]]+Ventas[[#This Row],[DESCUENTO/EXTRA]]</f>
        <v>106</v>
      </c>
      <c r="I101" t="s">
        <v>13</v>
      </c>
      <c r="J101" t="s">
        <v>39</v>
      </c>
      <c r="K101" t="s">
        <v>15</v>
      </c>
      <c r="L101" t="s">
        <v>16</v>
      </c>
    </row>
    <row r="102" spans="1:12">
      <c r="A102" s="3">
        <v>45014</v>
      </c>
      <c r="B102" t="s">
        <v>17</v>
      </c>
      <c r="C102" s="5">
        <v>14</v>
      </c>
      <c r="D102" s="7">
        <v>32.78</v>
      </c>
      <c r="E102" s="7">
        <f>Ventas[[#This Row],[CANTIDAD]]*Ventas[[#This Row],[PRECIO_UNIT]]</f>
        <v>458.92</v>
      </c>
      <c r="F102" s="7">
        <f>Ventas[[#This Row],[SUBTOTAL]]*0.16</f>
        <v>73.427199999999999</v>
      </c>
      <c r="G102" s="7">
        <v>-3.7200000000098044E-2</v>
      </c>
      <c r="H102" s="7">
        <f>Ventas[[#This Row],[SUBTOTAL]]+Ventas[[#This Row],[IVA]]+Ventas[[#This Row],[DESCUENTO/EXTRA]]</f>
        <v>532.30999999999995</v>
      </c>
      <c r="I102" t="s">
        <v>18</v>
      </c>
      <c r="J102" t="s">
        <v>34</v>
      </c>
      <c r="K102" t="s">
        <v>25</v>
      </c>
      <c r="L102" t="s">
        <v>16</v>
      </c>
    </row>
    <row r="103" spans="1:12">
      <c r="A103" s="3">
        <v>45015</v>
      </c>
      <c r="B103" t="s">
        <v>12</v>
      </c>
      <c r="C103" s="5">
        <v>8</v>
      </c>
      <c r="D103" s="7">
        <v>60</v>
      </c>
      <c r="E103" s="7">
        <f>Ventas[[#This Row],[CANTIDAD]]*Ventas[[#This Row],[PRECIO_UNIT]]</f>
        <v>480</v>
      </c>
      <c r="F103" s="7">
        <f>Ventas[[#This Row],[SUBTOTAL]]*0.16</f>
        <v>76.8</v>
      </c>
      <c r="G103" s="7">
        <v>0.20000000000004547</v>
      </c>
      <c r="H103" s="7">
        <f>Ventas[[#This Row],[SUBTOTAL]]+Ventas[[#This Row],[IVA]]+Ventas[[#This Row],[DESCUENTO/EXTRA]]</f>
        <v>557</v>
      </c>
      <c r="I103" t="s">
        <v>13</v>
      </c>
      <c r="J103" t="s">
        <v>21</v>
      </c>
      <c r="K103" t="s">
        <v>15</v>
      </c>
      <c r="L103" t="s">
        <v>16</v>
      </c>
    </row>
    <row r="104" spans="1:12">
      <c r="A104" s="3">
        <v>45016</v>
      </c>
      <c r="B104" t="s">
        <v>43</v>
      </c>
      <c r="C104" s="5">
        <v>29</v>
      </c>
      <c r="D104" s="7">
        <v>29.41</v>
      </c>
      <c r="E104" s="7">
        <f>Ventas[[#This Row],[CANTIDAD]]*Ventas[[#This Row],[PRECIO_UNIT]]</f>
        <v>852.89</v>
      </c>
      <c r="F104" s="7">
        <f>Ventas[[#This Row],[SUBTOTAL]]*0.16</f>
        <v>136.4624</v>
      </c>
      <c r="G104" s="7">
        <v>1.7600000000015825E-2</v>
      </c>
      <c r="H104" s="7">
        <f>Ventas[[#This Row],[SUBTOTAL]]+Ventas[[#This Row],[IVA]]+Ventas[[#This Row],[DESCUENTO/EXTRA]]</f>
        <v>989.37</v>
      </c>
      <c r="I104" t="s">
        <v>32</v>
      </c>
      <c r="J104" t="s">
        <v>48</v>
      </c>
      <c r="K104" t="s">
        <v>15</v>
      </c>
      <c r="L104" t="s">
        <v>16</v>
      </c>
    </row>
    <row r="105" spans="1:12">
      <c r="A105" s="3">
        <v>45017</v>
      </c>
      <c r="B105" t="s">
        <v>12</v>
      </c>
      <c r="C105" s="5">
        <v>27</v>
      </c>
      <c r="D105" s="7">
        <v>57</v>
      </c>
      <c r="E105" s="7">
        <f>Ventas[[#This Row],[CANTIDAD]]*Ventas[[#This Row],[PRECIO_UNIT]]</f>
        <v>1539</v>
      </c>
      <c r="F105" s="7">
        <f>Ventas[[#This Row],[SUBTOTAL]]*0.16</f>
        <v>246.24</v>
      </c>
      <c r="G105" s="7">
        <v>-1.9500000000000455</v>
      </c>
      <c r="H105" s="7">
        <f>Ventas[[#This Row],[SUBTOTAL]]+Ventas[[#This Row],[IVA]]+Ventas[[#This Row],[DESCUENTO/EXTRA]]</f>
        <v>1783.29</v>
      </c>
      <c r="I105" t="s">
        <v>18</v>
      </c>
      <c r="J105" t="s">
        <v>14</v>
      </c>
      <c r="K105" t="s">
        <v>15</v>
      </c>
      <c r="L105" t="s">
        <v>16</v>
      </c>
    </row>
    <row r="106" spans="1:12">
      <c r="A106" s="3">
        <v>45018</v>
      </c>
      <c r="B106" t="s">
        <v>26</v>
      </c>
      <c r="C106" s="5">
        <v>4</v>
      </c>
      <c r="D106" s="7">
        <v>38</v>
      </c>
      <c r="E106" s="7">
        <f>Ventas[[#This Row],[CANTIDAD]]*Ventas[[#This Row],[PRECIO_UNIT]]</f>
        <v>152</v>
      </c>
      <c r="F106" s="7">
        <f>Ventas[[#This Row],[SUBTOTAL]]*0.16</f>
        <v>24.32</v>
      </c>
      <c r="G106" s="7">
        <v>1.0500000000000114</v>
      </c>
      <c r="H106" s="7">
        <f>Ventas[[#This Row],[SUBTOTAL]]+Ventas[[#This Row],[IVA]]+Ventas[[#This Row],[DESCUENTO/EXTRA]]</f>
        <v>177.37</v>
      </c>
      <c r="I106" t="s">
        <v>32</v>
      </c>
      <c r="J106" t="s">
        <v>39</v>
      </c>
      <c r="K106" t="s">
        <v>25</v>
      </c>
      <c r="L106" t="s">
        <v>16</v>
      </c>
    </row>
    <row r="107" spans="1:12">
      <c r="A107" s="3">
        <v>45019</v>
      </c>
      <c r="B107" t="s">
        <v>46</v>
      </c>
      <c r="C107" s="5">
        <v>30</v>
      </c>
      <c r="D107" s="7">
        <v>27.23</v>
      </c>
      <c r="E107" s="7">
        <f>Ventas[[#This Row],[CANTIDAD]]*Ventas[[#This Row],[PRECIO_UNIT]]</f>
        <v>816.9</v>
      </c>
      <c r="F107" s="7">
        <f>Ventas[[#This Row],[SUBTOTAL]]*0.16</f>
        <v>130.70400000000001</v>
      </c>
      <c r="G107" s="7">
        <v>5.5999999999926331E-2</v>
      </c>
      <c r="H107" s="7">
        <f>Ventas[[#This Row],[SUBTOTAL]]+Ventas[[#This Row],[IVA]]+Ventas[[#This Row],[DESCUENTO/EXTRA]]</f>
        <v>947.66</v>
      </c>
      <c r="I107" t="s">
        <v>23</v>
      </c>
      <c r="J107" t="s">
        <v>36</v>
      </c>
      <c r="K107" t="s">
        <v>25</v>
      </c>
      <c r="L107" t="s">
        <v>16</v>
      </c>
    </row>
    <row r="108" spans="1:12">
      <c r="A108" s="3">
        <v>45021</v>
      </c>
      <c r="B108" t="s">
        <v>28</v>
      </c>
      <c r="C108" s="5">
        <v>5</v>
      </c>
      <c r="D108" s="7">
        <v>74</v>
      </c>
      <c r="E108" s="7">
        <f>Ventas[[#This Row],[CANTIDAD]]*Ventas[[#This Row],[PRECIO_UNIT]]</f>
        <v>370</v>
      </c>
      <c r="F108" s="7">
        <f>Ventas[[#This Row],[SUBTOTAL]]*0.16</f>
        <v>59.2</v>
      </c>
      <c r="G108" s="7">
        <v>4.9200000000000159</v>
      </c>
      <c r="H108" s="7">
        <f>Ventas[[#This Row],[SUBTOTAL]]+Ventas[[#This Row],[IVA]]+Ventas[[#This Row],[DESCUENTO/EXTRA]]</f>
        <v>434.12</v>
      </c>
      <c r="I108" t="s">
        <v>23</v>
      </c>
      <c r="J108" t="s">
        <v>36</v>
      </c>
      <c r="K108" t="s">
        <v>25</v>
      </c>
      <c r="L108" t="s">
        <v>16</v>
      </c>
    </row>
    <row r="109" spans="1:12">
      <c r="A109" s="3">
        <v>45022</v>
      </c>
      <c r="B109" t="s">
        <v>46</v>
      </c>
      <c r="C109" s="5">
        <v>14</v>
      </c>
      <c r="D109" s="7">
        <v>26.63</v>
      </c>
      <c r="E109" s="7">
        <f>Ventas[[#This Row],[CANTIDAD]]*Ventas[[#This Row],[PRECIO_UNIT]]</f>
        <v>372.82</v>
      </c>
      <c r="F109" s="7">
        <f>Ventas[[#This Row],[SUBTOTAL]]*0.16</f>
        <v>59.651200000000003</v>
      </c>
      <c r="G109" s="7">
        <v>3.8799999999980628E-2</v>
      </c>
      <c r="H109" s="7">
        <f>Ventas[[#This Row],[SUBTOTAL]]+Ventas[[#This Row],[IVA]]+Ventas[[#This Row],[DESCUENTO/EXTRA]]</f>
        <v>432.51</v>
      </c>
      <c r="I109" t="s">
        <v>41</v>
      </c>
      <c r="J109" t="s">
        <v>36</v>
      </c>
      <c r="K109" t="s">
        <v>15</v>
      </c>
      <c r="L109" t="s">
        <v>16</v>
      </c>
    </row>
    <row r="110" spans="1:12">
      <c r="A110" s="3">
        <v>45022</v>
      </c>
      <c r="B110" t="s">
        <v>22</v>
      </c>
      <c r="C110" s="5">
        <v>2</v>
      </c>
      <c r="D110" s="7">
        <v>20.54</v>
      </c>
      <c r="E110" s="7">
        <f>Ventas[[#This Row],[CANTIDAD]]*Ventas[[#This Row],[PRECIO_UNIT]]</f>
        <v>41.08</v>
      </c>
      <c r="F110" s="7">
        <f>Ventas[[#This Row],[SUBTOTAL]]*0.16</f>
        <v>6.5728</v>
      </c>
      <c r="G110" s="7">
        <v>7.1999999999974307E-3</v>
      </c>
      <c r="H110" s="7">
        <f>Ventas[[#This Row],[SUBTOTAL]]+Ventas[[#This Row],[IVA]]+Ventas[[#This Row],[DESCUENTO/EXTRA]]</f>
        <v>47.66</v>
      </c>
      <c r="I110" t="s">
        <v>13</v>
      </c>
      <c r="J110" t="s">
        <v>47</v>
      </c>
      <c r="K110" t="s">
        <v>25</v>
      </c>
      <c r="L110" t="s">
        <v>16</v>
      </c>
    </row>
    <row r="111" spans="1:12">
      <c r="A111" s="3">
        <v>45024</v>
      </c>
      <c r="B111" t="s">
        <v>43</v>
      </c>
      <c r="C111" s="5">
        <v>28</v>
      </c>
      <c r="D111" s="7">
        <v>30.74</v>
      </c>
      <c r="E111" s="7">
        <f>Ventas[[#This Row],[CANTIDAD]]*Ventas[[#This Row],[PRECIO_UNIT]]</f>
        <v>860.71999999999991</v>
      </c>
      <c r="F111" s="7">
        <f>Ventas[[#This Row],[SUBTOTAL]]*0.16</f>
        <v>137.71519999999998</v>
      </c>
      <c r="G111" s="7">
        <v>-0.1051999999998543</v>
      </c>
      <c r="H111" s="7">
        <f>Ventas[[#This Row],[SUBTOTAL]]+Ventas[[#This Row],[IVA]]+Ventas[[#This Row],[DESCUENTO/EXTRA]]</f>
        <v>998.33</v>
      </c>
      <c r="I111" t="s">
        <v>13</v>
      </c>
      <c r="J111" t="s">
        <v>54</v>
      </c>
      <c r="K111" t="s">
        <v>25</v>
      </c>
      <c r="L111" t="s">
        <v>16</v>
      </c>
    </row>
    <row r="112" spans="1:12">
      <c r="A112" s="3">
        <v>45024</v>
      </c>
      <c r="B112" t="s">
        <v>43</v>
      </c>
      <c r="C112" s="5">
        <v>23</v>
      </c>
      <c r="D112" s="7">
        <v>27</v>
      </c>
      <c r="E112" s="7">
        <f>Ventas[[#This Row],[CANTIDAD]]*Ventas[[#This Row],[PRECIO_UNIT]]</f>
        <v>621</v>
      </c>
      <c r="F112" s="7">
        <f>Ventas[[#This Row],[SUBTOTAL]]*0.16</f>
        <v>99.36</v>
      </c>
      <c r="G112" s="7">
        <v>2.9900000000000091</v>
      </c>
      <c r="H112" s="7">
        <f>Ventas[[#This Row],[SUBTOTAL]]+Ventas[[#This Row],[IVA]]+Ventas[[#This Row],[DESCUENTO/EXTRA]]</f>
        <v>723.35</v>
      </c>
      <c r="I112" t="s">
        <v>18</v>
      </c>
      <c r="J112" t="s">
        <v>44</v>
      </c>
      <c r="K112" t="s">
        <v>25</v>
      </c>
      <c r="L112" t="s">
        <v>16</v>
      </c>
    </row>
    <row r="113" spans="1:12">
      <c r="A113" s="3">
        <v>45025</v>
      </c>
      <c r="B113" t="s">
        <v>37</v>
      </c>
      <c r="C113" s="5">
        <v>21</v>
      </c>
      <c r="D113" s="7">
        <v>23</v>
      </c>
      <c r="E113" s="7">
        <f>Ventas[[#This Row],[CANTIDAD]]*Ventas[[#This Row],[PRECIO_UNIT]]</f>
        <v>483</v>
      </c>
      <c r="F113" s="7">
        <f>Ventas[[#This Row],[SUBTOTAL]]*0.16</f>
        <v>77.28</v>
      </c>
      <c r="G113" s="7">
        <v>11.670000000000073</v>
      </c>
      <c r="H113" s="7">
        <f>Ventas[[#This Row],[SUBTOTAL]]+Ventas[[#This Row],[IVA]]+Ventas[[#This Row],[DESCUENTO/EXTRA]]</f>
        <v>571.95000000000005</v>
      </c>
      <c r="I113" t="s">
        <v>23</v>
      </c>
      <c r="J113" t="s">
        <v>52</v>
      </c>
      <c r="K113" t="s">
        <v>25</v>
      </c>
      <c r="L113" t="s">
        <v>16</v>
      </c>
    </row>
    <row r="114" spans="1:12">
      <c r="A114" s="3">
        <v>45030</v>
      </c>
      <c r="B114" t="s">
        <v>45</v>
      </c>
      <c r="C114" s="5">
        <v>25</v>
      </c>
      <c r="D114" s="7">
        <v>50.27</v>
      </c>
      <c r="E114" s="7">
        <f>Ventas[[#This Row],[CANTIDAD]]*Ventas[[#This Row],[PRECIO_UNIT]]</f>
        <v>1256.75</v>
      </c>
      <c r="F114" s="7">
        <f>Ventas[[#This Row],[SUBTOTAL]]*0.16</f>
        <v>201.08</v>
      </c>
      <c r="G114" s="7">
        <v>0.17000000000007276</v>
      </c>
      <c r="H114" s="7">
        <f>Ventas[[#This Row],[SUBTOTAL]]+Ventas[[#This Row],[IVA]]+Ventas[[#This Row],[DESCUENTO/EXTRA]]</f>
        <v>1458</v>
      </c>
      <c r="I114" t="s">
        <v>18</v>
      </c>
      <c r="J114" t="s">
        <v>48</v>
      </c>
      <c r="K114" t="s">
        <v>15</v>
      </c>
      <c r="L114" t="s">
        <v>16</v>
      </c>
    </row>
    <row r="115" spans="1:12">
      <c r="A115" s="3">
        <v>45030</v>
      </c>
      <c r="B115" t="s">
        <v>26</v>
      </c>
      <c r="C115" s="5">
        <v>26</v>
      </c>
      <c r="D115" s="7">
        <v>40</v>
      </c>
      <c r="E115" s="7">
        <f>Ventas[[#This Row],[CANTIDAD]]*Ventas[[#This Row],[PRECIO_UNIT]]</f>
        <v>1040</v>
      </c>
      <c r="F115" s="7">
        <f>Ventas[[#This Row],[SUBTOTAL]]*0.16</f>
        <v>166.4</v>
      </c>
      <c r="G115" s="7">
        <v>8.5999999999999091</v>
      </c>
      <c r="H115" s="7">
        <f>Ventas[[#This Row],[SUBTOTAL]]+Ventas[[#This Row],[IVA]]+Ventas[[#This Row],[DESCUENTO/EXTRA]]</f>
        <v>1215</v>
      </c>
      <c r="I115" t="s">
        <v>18</v>
      </c>
      <c r="J115" t="s">
        <v>52</v>
      </c>
      <c r="K115" t="s">
        <v>15</v>
      </c>
      <c r="L115" t="s">
        <v>16</v>
      </c>
    </row>
    <row r="116" spans="1:12">
      <c r="A116" s="3">
        <v>45031</v>
      </c>
      <c r="B116" t="s">
        <v>40</v>
      </c>
      <c r="C116" s="5">
        <v>11</v>
      </c>
      <c r="D116" s="7">
        <v>31.48</v>
      </c>
      <c r="E116" s="7">
        <f>Ventas[[#This Row],[CANTIDAD]]*Ventas[[#This Row],[PRECIO_UNIT]]</f>
        <v>346.28000000000003</v>
      </c>
      <c r="F116" s="7">
        <f>Ventas[[#This Row],[SUBTOTAL]]*0.16</f>
        <v>55.404800000000009</v>
      </c>
      <c r="G116" s="7">
        <v>0.31519999999994752</v>
      </c>
      <c r="H116" s="7">
        <f>Ventas[[#This Row],[SUBTOTAL]]+Ventas[[#This Row],[IVA]]+Ventas[[#This Row],[DESCUENTO/EXTRA]]</f>
        <v>402</v>
      </c>
      <c r="I116" t="s">
        <v>32</v>
      </c>
      <c r="J116" t="s">
        <v>39</v>
      </c>
      <c r="K116" t="s">
        <v>25</v>
      </c>
      <c r="L116" t="s">
        <v>16</v>
      </c>
    </row>
    <row r="117" spans="1:12">
      <c r="A117" s="3">
        <v>45032</v>
      </c>
      <c r="B117" t="s">
        <v>28</v>
      </c>
      <c r="C117" s="5">
        <v>17</v>
      </c>
      <c r="D117" s="7">
        <v>76</v>
      </c>
      <c r="E117" s="7">
        <f>Ventas[[#This Row],[CANTIDAD]]*Ventas[[#This Row],[PRECIO_UNIT]]</f>
        <v>1292</v>
      </c>
      <c r="F117" s="7">
        <f>Ventas[[#This Row],[SUBTOTAL]]*0.16</f>
        <v>206.72</v>
      </c>
      <c r="G117" s="7">
        <v>-3.6400000000001</v>
      </c>
      <c r="H117" s="7">
        <f>Ventas[[#This Row],[SUBTOTAL]]+Ventas[[#This Row],[IVA]]+Ventas[[#This Row],[DESCUENTO/EXTRA]]</f>
        <v>1495.08</v>
      </c>
      <c r="I117" t="s">
        <v>32</v>
      </c>
      <c r="J117" t="s">
        <v>55</v>
      </c>
      <c r="K117" t="s">
        <v>15</v>
      </c>
      <c r="L117" t="s">
        <v>16</v>
      </c>
    </row>
    <row r="118" spans="1:12">
      <c r="A118" s="3">
        <v>45035</v>
      </c>
      <c r="B118" t="s">
        <v>37</v>
      </c>
      <c r="C118" s="5">
        <v>11</v>
      </c>
      <c r="D118" s="7">
        <v>22.17</v>
      </c>
      <c r="E118" s="7">
        <f>Ventas[[#This Row],[CANTIDAD]]*Ventas[[#This Row],[PRECIO_UNIT]]</f>
        <v>243.87</v>
      </c>
      <c r="F118" s="7">
        <f>Ventas[[#This Row],[SUBTOTAL]]*0.16</f>
        <v>39.019200000000005</v>
      </c>
      <c r="G118" s="7">
        <v>-0.88920000000001664</v>
      </c>
      <c r="H118" s="7">
        <f>Ventas[[#This Row],[SUBTOTAL]]+Ventas[[#This Row],[IVA]]+Ventas[[#This Row],[DESCUENTO/EXTRA]]</f>
        <v>282</v>
      </c>
      <c r="I118" t="s">
        <v>13</v>
      </c>
      <c r="J118" t="s">
        <v>21</v>
      </c>
      <c r="K118" t="s">
        <v>25</v>
      </c>
      <c r="L118" t="s">
        <v>16</v>
      </c>
    </row>
    <row r="119" spans="1:12">
      <c r="A119" s="3">
        <v>45036</v>
      </c>
      <c r="B119" t="s">
        <v>20</v>
      </c>
      <c r="C119" s="5">
        <v>16</v>
      </c>
      <c r="D119" s="7">
        <v>11</v>
      </c>
      <c r="E119" s="7">
        <f>Ventas[[#This Row],[CANTIDAD]]*Ventas[[#This Row],[PRECIO_UNIT]]</f>
        <v>176</v>
      </c>
      <c r="F119" s="7">
        <f>Ventas[[#This Row],[SUBTOTAL]]*0.16</f>
        <v>28.16</v>
      </c>
      <c r="G119" s="7">
        <v>6.3600000000000136</v>
      </c>
      <c r="H119" s="7">
        <f>Ventas[[#This Row],[SUBTOTAL]]+Ventas[[#This Row],[IVA]]+Ventas[[#This Row],[DESCUENTO/EXTRA]]</f>
        <v>210.52</v>
      </c>
      <c r="I119" t="s">
        <v>18</v>
      </c>
      <c r="J119" t="s">
        <v>49</v>
      </c>
      <c r="K119" t="s">
        <v>15</v>
      </c>
      <c r="L119" t="s">
        <v>16</v>
      </c>
    </row>
    <row r="120" spans="1:12">
      <c r="A120" s="3">
        <v>45038</v>
      </c>
      <c r="B120" t="s">
        <v>20</v>
      </c>
      <c r="C120" s="5">
        <v>5</v>
      </c>
      <c r="D120" s="7">
        <v>12</v>
      </c>
      <c r="E120" s="7">
        <f>Ventas[[#This Row],[CANTIDAD]]*Ventas[[#This Row],[PRECIO_UNIT]]</f>
        <v>60</v>
      </c>
      <c r="F120" s="7">
        <f>Ventas[[#This Row],[SUBTOTAL]]*0.16</f>
        <v>9.6</v>
      </c>
      <c r="G120" s="7">
        <v>-1.1499999999999915</v>
      </c>
      <c r="H120" s="7">
        <f>Ventas[[#This Row],[SUBTOTAL]]+Ventas[[#This Row],[IVA]]+Ventas[[#This Row],[DESCUENTO/EXTRA]]</f>
        <v>68.45</v>
      </c>
      <c r="I120" t="s">
        <v>18</v>
      </c>
      <c r="J120" t="s">
        <v>24</v>
      </c>
      <c r="K120" t="s">
        <v>15</v>
      </c>
      <c r="L120" t="s">
        <v>16</v>
      </c>
    </row>
    <row r="121" spans="1:12">
      <c r="A121" s="3">
        <v>45039</v>
      </c>
      <c r="B121" t="s">
        <v>43</v>
      </c>
      <c r="C121" s="5">
        <v>19</v>
      </c>
      <c r="D121" s="7">
        <v>28.88</v>
      </c>
      <c r="E121" s="7">
        <f>Ventas[[#This Row],[CANTIDAD]]*Ventas[[#This Row],[PRECIO_UNIT]]</f>
        <v>548.72</v>
      </c>
      <c r="F121" s="7">
        <f>Ventas[[#This Row],[SUBTOTAL]]*0.16</f>
        <v>87.795200000000008</v>
      </c>
      <c r="G121" s="7">
        <v>0.48479999999995016</v>
      </c>
      <c r="H121" s="7">
        <f>Ventas[[#This Row],[SUBTOTAL]]+Ventas[[#This Row],[IVA]]+Ventas[[#This Row],[DESCUENTO/EXTRA]]</f>
        <v>637</v>
      </c>
      <c r="I121" t="s">
        <v>18</v>
      </c>
      <c r="J121" t="s">
        <v>39</v>
      </c>
      <c r="K121" t="s">
        <v>25</v>
      </c>
      <c r="L121" t="s">
        <v>16</v>
      </c>
    </row>
    <row r="122" spans="1:12">
      <c r="A122" s="3">
        <v>45039</v>
      </c>
      <c r="B122" t="s">
        <v>46</v>
      </c>
      <c r="C122" s="5">
        <v>9</v>
      </c>
      <c r="D122" s="7">
        <v>28.07</v>
      </c>
      <c r="E122" s="7">
        <f>Ventas[[#This Row],[CANTIDAD]]*Ventas[[#This Row],[PRECIO_UNIT]]</f>
        <v>252.63</v>
      </c>
      <c r="F122" s="7">
        <f>Ventas[[#This Row],[SUBTOTAL]]*0.16</f>
        <v>40.4208</v>
      </c>
      <c r="G122" s="7">
        <v>-2.0800000000008367E-2</v>
      </c>
      <c r="H122" s="7">
        <f>Ventas[[#This Row],[SUBTOTAL]]+Ventas[[#This Row],[IVA]]+Ventas[[#This Row],[DESCUENTO/EXTRA]]</f>
        <v>293.02999999999997</v>
      </c>
      <c r="I122" t="s">
        <v>18</v>
      </c>
      <c r="J122" t="s">
        <v>33</v>
      </c>
      <c r="K122" t="s">
        <v>15</v>
      </c>
      <c r="L122" t="s">
        <v>16</v>
      </c>
    </row>
    <row r="123" spans="1:12">
      <c r="A123" s="3">
        <v>45039</v>
      </c>
      <c r="B123" t="s">
        <v>46</v>
      </c>
      <c r="C123" s="5">
        <v>17</v>
      </c>
      <c r="D123" s="7">
        <v>26.39</v>
      </c>
      <c r="E123" s="7">
        <f>Ventas[[#This Row],[CANTIDAD]]*Ventas[[#This Row],[PRECIO_UNIT]]</f>
        <v>448.63</v>
      </c>
      <c r="F123" s="7">
        <f>Ventas[[#This Row],[SUBTOTAL]]*0.16</f>
        <v>71.780799999999999</v>
      </c>
      <c r="G123" s="7">
        <v>-8.0799999999953798E-2</v>
      </c>
      <c r="H123" s="7">
        <f>Ventas[[#This Row],[SUBTOTAL]]+Ventas[[#This Row],[IVA]]+Ventas[[#This Row],[DESCUENTO/EXTRA]]</f>
        <v>520.33000000000004</v>
      </c>
      <c r="I123" t="s">
        <v>18</v>
      </c>
      <c r="J123" t="s">
        <v>34</v>
      </c>
      <c r="K123" t="s">
        <v>15</v>
      </c>
      <c r="L123" t="s">
        <v>16</v>
      </c>
    </row>
    <row r="124" spans="1:12">
      <c r="A124" s="3">
        <v>45041</v>
      </c>
      <c r="B124" t="s">
        <v>37</v>
      </c>
      <c r="C124" s="5">
        <v>12</v>
      </c>
      <c r="D124" s="7">
        <v>23.92</v>
      </c>
      <c r="E124" s="7">
        <f>Ventas[[#This Row],[CANTIDAD]]*Ventas[[#This Row],[PRECIO_UNIT]]</f>
        <v>287.04000000000002</v>
      </c>
      <c r="F124" s="7">
        <f>Ventas[[#This Row],[SUBTOTAL]]*0.16</f>
        <v>45.926400000000001</v>
      </c>
      <c r="G124" s="7">
        <v>3.3599999999978536E-2</v>
      </c>
      <c r="H124" s="7">
        <f>Ventas[[#This Row],[SUBTOTAL]]+Ventas[[#This Row],[IVA]]+Ventas[[#This Row],[DESCUENTO/EXTRA]]</f>
        <v>333</v>
      </c>
      <c r="I124" t="s">
        <v>18</v>
      </c>
      <c r="J124" t="s">
        <v>31</v>
      </c>
      <c r="K124" t="s">
        <v>25</v>
      </c>
      <c r="L124" t="s">
        <v>16</v>
      </c>
    </row>
    <row r="125" spans="1:12">
      <c r="A125" s="3">
        <v>45042</v>
      </c>
      <c r="B125" t="s">
        <v>12</v>
      </c>
      <c r="C125" s="5">
        <v>14</v>
      </c>
      <c r="D125" s="7">
        <v>59</v>
      </c>
      <c r="E125" s="7">
        <f>Ventas[[#This Row],[CANTIDAD]]*Ventas[[#This Row],[PRECIO_UNIT]]</f>
        <v>826</v>
      </c>
      <c r="F125" s="7">
        <f>Ventas[[#This Row],[SUBTOTAL]]*0.16</f>
        <v>132.16</v>
      </c>
      <c r="G125" s="7">
        <v>3.3000000000000682</v>
      </c>
      <c r="H125" s="7">
        <f>Ventas[[#This Row],[SUBTOTAL]]+Ventas[[#This Row],[IVA]]+Ventas[[#This Row],[DESCUENTO/EXTRA]]</f>
        <v>961.46</v>
      </c>
      <c r="I125" t="s">
        <v>23</v>
      </c>
      <c r="J125" t="s">
        <v>34</v>
      </c>
      <c r="K125" t="s">
        <v>15</v>
      </c>
      <c r="L125" t="s">
        <v>16</v>
      </c>
    </row>
    <row r="126" spans="1:12">
      <c r="A126" s="3">
        <v>45042</v>
      </c>
      <c r="B126" t="s">
        <v>46</v>
      </c>
      <c r="C126" s="5">
        <v>4</v>
      </c>
      <c r="D126" s="7">
        <v>29.15</v>
      </c>
      <c r="E126" s="7">
        <f>Ventas[[#This Row],[CANTIDAD]]*Ventas[[#This Row],[PRECIO_UNIT]]</f>
        <v>116.6</v>
      </c>
      <c r="F126" s="7">
        <f>Ventas[[#This Row],[SUBTOTAL]]*0.16</f>
        <v>18.655999999999999</v>
      </c>
      <c r="G126" s="7">
        <v>-2.6000000000010459E-2</v>
      </c>
      <c r="H126" s="7">
        <f>Ventas[[#This Row],[SUBTOTAL]]+Ventas[[#This Row],[IVA]]+Ventas[[#This Row],[DESCUENTO/EXTRA]]</f>
        <v>135.22999999999999</v>
      </c>
      <c r="I126" t="s">
        <v>32</v>
      </c>
      <c r="J126" t="s">
        <v>36</v>
      </c>
      <c r="K126" t="s">
        <v>15</v>
      </c>
      <c r="L126" t="s">
        <v>16</v>
      </c>
    </row>
    <row r="127" spans="1:12">
      <c r="A127" s="3">
        <v>45043</v>
      </c>
      <c r="B127" t="s">
        <v>37</v>
      </c>
      <c r="C127" s="5">
        <v>5</v>
      </c>
      <c r="D127" s="7">
        <v>24</v>
      </c>
      <c r="E127" s="7">
        <f>Ventas[[#This Row],[CANTIDAD]]*Ventas[[#This Row],[PRECIO_UNIT]]</f>
        <v>120</v>
      </c>
      <c r="F127" s="7">
        <f>Ventas[[#This Row],[SUBTOTAL]]*0.16</f>
        <v>19.2</v>
      </c>
      <c r="G127" s="7">
        <v>8.0000000000012506E-2</v>
      </c>
      <c r="H127" s="7">
        <f>Ventas[[#This Row],[SUBTOTAL]]+Ventas[[#This Row],[IVA]]+Ventas[[#This Row],[DESCUENTO/EXTRA]]</f>
        <v>139.28</v>
      </c>
      <c r="I127" t="s">
        <v>32</v>
      </c>
      <c r="J127" t="s">
        <v>27</v>
      </c>
      <c r="K127" t="s">
        <v>15</v>
      </c>
      <c r="L127" t="s">
        <v>16</v>
      </c>
    </row>
    <row r="128" spans="1:12">
      <c r="A128" s="3">
        <v>45043</v>
      </c>
      <c r="B128" t="s">
        <v>45</v>
      </c>
      <c r="C128" s="5">
        <v>23</v>
      </c>
      <c r="D128" s="7">
        <v>48.46</v>
      </c>
      <c r="E128" s="7">
        <f>Ventas[[#This Row],[CANTIDAD]]*Ventas[[#This Row],[PRECIO_UNIT]]</f>
        <v>1114.58</v>
      </c>
      <c r="F128" s="7">
        <f>Ventas[[#This Row],[SUBTOTAL]]*0.16</f>
        <v>178.33279999999999</v>
      </c>
      <c r="G128" s="7">
        <v>0.12720000000012988</v>
      </c>
      <c r="H128" s="7">
        <f>Ventas[[#This Row],[SUBTOTAL]]+Ventas[[#This Row],[IVA]]+Ventas[[#This Row],[DESCUENTO/EXTRA]]</f>
        <v>1293.04</v>
      </c>
      <c r="I128" t="s">
        <v>32</v>
      </c>
      <c r="J128" t="s">
        <v>42</v>
      </c>
      <c r="K128" t="s">
        <v>15</v>
      </c>
      <c r="L128" t="s">
        <v>16</v>
      </c>
    </row>
    <row r="129" spans="1:12">
      <c r="A129" s="3">
        <v>45045</v>
      </c>
      <c r="B129" t="s">
        <v>43</v>
      </c>
      <c r="C129" s="5">
        <v>17</v>
      </c>
      <c r="D129" s="7">
        <v>30.21</v>
      </c>
      <c r="E129" s="7">
        <f>Ventas[[#This Row],[CANTIDAD]]*Ventas[[#This Row],[PRECIO_UNIT]]</f>
        <v>513.57000000000005</v>
      </c>
      <c r="F129" s="7">
        <f>Ventas[[#This Row],[SUBTOTAL]]*0.16</f>
        <v>82.171200000000013</v>
      </c>
      <c r="G129" s="7">
        <v>8.7999999999510692E-3</v>
      </c>
      <c r="H129" s="7">
        <f>Ventas[[#This Row],[SUBTOTAL]]+Ventas[[#This Row],[IVA]]+Ventas[[#This Row],[DESCUENTO/EXTRA]]</f>
        <v>595.75</v>
      </c>
      <c r="I129" t="s">
        <v>18</v>
      </c>
      <c r="J129" t="s">
        <v>29</v>
      </c>
      <c r="K129" t="s">
        <v>15</v>
      </c>
      <c r="L129" t="s">
        <v>16</v>
      </c>
    </row>
    <row r="130" spans="1:12">
      <c r="A130" s="3">
        <v>45046</v>
      </c>
      <c r="B130" t="s">
        <v>45</v>
      </c>
      <c r="C130" s="5">
        <v>27</v>
      </c>
      <c r="D130" s="7">
        <v>47.37</v>
      </c>
      <c r="E130" s="7">
        <f>Ventas[[#This Row],[CANTIDAD]]*Ventas[[#This Row],[PRECIO_UNIT]]</f>
        <v>1278.99</v>
      </c>
      <c r="F130" s="7">
        <f>Ventas[[#This Row],[SUBTOTAL]]*0.16</f>
        <v>204.63840000000002</v>
      </c>
      <c r="G130" s="7">
        <v>0.11159999999995307</v>
      </c>
      <c r="H130" s="7">
        <f>Ventas[[#This Row],[SUBTOTAL]]+Ventas[[#This Row],[IVA]]+Ventas[[#This Row],[DESCUENTO/EXTRA]]</f>
        <v>1483.74</v>
      </c>
      <c r="I130" t="s">
        <v>18</v>
      </c>
      <c r="J130" t="s">
        <v>29</v>
      </c>
      <c r="K130" t="s">
        <v>25</v>
      </c>
      <c r="L130" t="s">
        <v>16</v>
      </c>
    </row>
    <row r="131" spans="1:12">
      <c r="A131" s="3">
        <v>45046</v>
      </c>
      <c r="B131" t="s">
        <v>22</v>
      </c>
      <c r="C131" s="5">
        <v>26</v>
      </c>
      <c r="D131" s="7">
        <v>23</v>
      </c>
      <c r="E131" s="7">
        <f>Ventas[[#This Row],[CANTIDAD]]*Ventas[[#This Row],[PRECIO_UNIT]]</f>
        <v>598</v>
      </c>
      <c r="F131" s="7">
        <f>Ventas[[#This Row],[SUBTOTAL]]*0.16</f>
        <v>95.68</v>
      </c>
      <c r="G131" s="7">
        <v>-7.5100000000001046</v>
      </c>
      <c r="H131" s="7">
        <f>Ventas[[#This Row],[SUBTOTAL]]+Ventas[[#This Row],[IVA]]+Ventas[[#This Row],[DESCUENTO/EXTRA]]</f>
        <v>686.17</v>
      </c>
      <c r="I131" t="s">
        <v>13</v>
      </c>
      <c r="J131" t="s">
        <v>39</v>
      </c>
      <c r="K131" t="s">
        <v>25</v>
      </c>
      <c r="L131" t="s">
        <v>16</v>
      </c>
    </row>
    <row r="132" spans="1:12">
      <c r="A132" s="3">
        <v>45048</v>
      </c>
      <c r="B132" t="s">
        <v>28</v>
      </c>
      <c r="C132" s="5">
        <v>4</v>
      </c>
      <c r="D132" s="7">
        <v>81</v>
      </c>
      <c r="E132" s="7">
        <f>Ventas[[#This Row],[CANTIDAD]]*Ventas[[#This Row],[PRECIO_UNIT]]</f>
        <v>324</v>
      </c>
      <c r="F132" s="7">
        <f>Ventas[[#This Row],[SUBTOTAL]]*0.16</f>
        <v>51.84</v>
      </c>
      <c r="G132" s="7">
        <v>-0.75000000000005684</v>
      </c>
      <c r="H132" s="7">
        <f>Ventas[[#This Row],[SUBTOTAL]]+Ventas[[#This Row],[IVA]]+Ventas[[#This Row],[DESCUENTO/EXTRA]]</f>
        <v>375.09</v>
      </c>
      <c r="I132" t="s">
        <v>32</v>
      </c>
      <c r="J132" t="s">
        <v>52</v>
      </c>
      <c r="K132" t="s">
        <v>25</v>
      </c>
      <c r="L132" t="s">
        <v>16</v>
      </c>
    </row>
    <row r="133" spans="1:12">
      <c r="A133" s="3">
        <v>45049</v>
      </c>
      <c r="B133" t="s">
        <v>12</v>
      </c>
      <c r="C133" s="5">
        <v>4</v>
      </c>
      <c r="D133" s="7">
        <v>59.92</v>
      </c>
      <c r="E133" s="7">
        <f>Ventas[[#This Row],[CANTIDAD]]*Ventas[[#This Row],[PRECIO_UNIT]]</f>
        <v>239.68</v>
      </c>
      <c r="F133" s="7">
        <f>Ventas[[#This Row],[SUBTOTAL]]*0.16</f>
        <v>38.348800000000004</v>
      </c>
      <c r="G133" s="7">
        <v>1.1999999999829924E-3</v>
      </c>
      <c r="H133" s="7">
        <f>Ventas[[#This Row],[SUBTOTAL]]+Ventas[[#This Row],[IVA]]+Ventas[[#This Row],[DESCUENTO/EXTRA]]</f>
        <v>278.02999999999997</v>
      </c>
      <c r="I133" t="s">
        <v>32</v>
      </c>
      <c r="J133" t="s">
        <v>49</v>
      </c>
      <c r="K133" t="s">
        <v>15</v>
      </c>
      <c r="L133" t="s">
        <v>16</v>
      </c>
    </row>
    <row r="134" spans="1:12">
      <c r="A134" s="3">
        <v>45052</v>
      </c>
      <c r="B134" t="s">
        <v>40</v>
      </c>
      <c r="C134" s="5">
        <v>2</v>
      </c>
      <c r="D134" s="7">
        <v>34.06</v>
      </c>
      <c r="E134" s="7">
        <f>Ventas[[#This Row],[CANTIDAD]]*Ventas[[#This Row],[PRECIO_UNIT]]</f>
        <v>68.12</v>
      </c>
      <c r="F134" s="7">
        <f>Ventas[[#This Row],[SUBTOTAL]]*0.16</f>
        <v>10.8992</v>
      </c>
      <c r="G134" s="7">
        <v>-9.2000000000069804E-3</v>
      </c>
      <c r="H134" s="7">
        <f>Ventas[[#This Row],[SUBTOTAL]]+Ventas[[#This Row],[IVA]]+Ventas[[#This Row],[DESCUENTO/EXTRA]]</f>
        <v>79.010000000000005</v>
      </c>
      <c r="I134" t="s">
        <v>18</v>
      </c>
      <c r="J134" t="s">
        <v>30</v>
      </c>
      <c r="K134" t="s">
        <v>15</v>
      </c>
      <c r="L134" t="s">
        <v>16</v>
      </c>
    </row>
    <row r="135" spans="1:12">
      <c r="A135" s="3">
        <v>45057</v>
      </c>
      <c r="B135" t="s">
        <v>20</v>
      </c>
      <c r="C135" s="5">
        <v>13</v>
      </c>
      <c r="D135" s="7">
        <v>11.95</v>
      </c>
      <c r="E135" s="7">
        <f>Ventas[[#This Row],[CANTIDAD]]*Ventas[[#This Row],[PRECIO_UNIT]]</f>
        <v>155.35</v>
      </c>
      <c r="F135" s="7">
        <f>Ventas[[#This Row],[SUBTOTAL]]*0.16</f>
        <v>24.855999999999998</v>
      </c>
      <c r="G135" s="7">
        <v>6.4000000000021373E-2</v>
      </c>
      <c r="H135" s="7">
        <f>Ventas[[#This Row],[SUBTOTAL]]+Ventas[[#This Row],[IVA]]+Ventas[[#This Row],[DESCUENTO/EXTRA]]</f>
        <v>180.27</v>
      </c>
      <c r="I135" t="s">
        <v>23</v>
      </c>
      <c r="J135" t="s">
        <v>39</v>
      </c>
      <c r="K135" t="s">
        <v>25</v>
      </c>
      <c r="L135" t="s">
        <v>16</v>
      </c>
    </row>
    <row r="136" spans="1:12">
      <c r="A136" s="3">
        <v>45058</v>
      </c>
      <c r="B136" t="s">
        <v>37</v>
      </c>
      <c r="C136" s="5">
        <v>23</v>
      </c>
      <c r="D136" s="7">
        <v>24.12</v>
      </c>
      <c r="E136" s="7">
        <f>Ventas[[#This Row],[CANTIDAD]]*Ventas[[#This Row],[PRECIO_UNIT]]</f>
        <v>554.76</v>
      </c>
      <c r="F136" s="7">
        <f>Ventas[[#This Row],[SUBTOTAL]]*0.16</f>
        <v>88.761600000000001</v>
      </c>
      <c r="G136" s="7">
        <v>-0.52160000000003492</v>
      </c>
      <c r="H136" s="7">
        <f>Ventas[[#This Row],[SUBTOTAL]]+Ventas[[#This Row],[IVA]]+Ventas[[#This Row],[DESCUENTO/EXTRA]]</f>
        <v>643</v>
      </c>
      <c r="I136" t="s">
        <v>23</v>
      </c>
      <c r="J136" t="s">
        <v>30</v>
      </c>
      <c r="K136" t="s">
        <v>15</v>
      </c>
      <c r="L136" t="s">
        <v>16</v>
      </c>
    </row>
    <row r="137" spans="1:12">
      <c r="A137" s="3">
        <v>45062</v>
      </c>
      <c r="B137" t="s">
        <v>40</v>
      </c>
      <c r="C137" s="5">
        <v>27</v>
      </c>
      <c r="D137" s="7">
        <v>32</v>
      </c>
      <c r="E137" s="7">
        <f>Ventas[[#This Row],[CANTIDAD]]*Ventas[[#This Row],[PRECIO_UNIT]]</f>
        <v>864</v>
      </c>
      <c r="F137" s="7">
        <f>Ventas[[#This Row],[SUBTOTAL]]*0.16</f>
        <v>138.24</v>
      </c>
      <c r="G137" s="7">
        <v>2.0399999999999636</v>
      </c>
      <c r="H137" s="7">
        <f>Ventas[[#This Row],[SUBTOTAL]]+Ventas[[#This Row],[IVA]]+Ventas[[#This Row],[DESCUENTO/EXTRA]]</f>
        <v>1004.28</v>
      </c>
      <c r="I137" t="s">
        <v>41</v>
      </c>
      <c r="J137" t="s">
        <v>33</v>
      </c>
      <c r="K137" t="s">
        <v>25</v>
      </c>
      <c r="L137" t="s">
        <v>16</v>
      </c>
    </row>
    <row r="138" spans="1:12">
      <c r="A138" s="3">
        <v>45064</v>
      </c>
      <c r="B138" t="s">
        <v>37</v>
      </c>
      <c r="C138" s="5">
        <v>28</v>
      </c>
      <c r="D138" s="7">
        <v>23.49</v>
      </c>
      <c r="E138" s="7">
        <f>Ventas[[#This Row],[CANTIDAD]]*Ventas[[#This Row],[PRECIO_UNIT]]</f>
        <v>657.71999999999991</v>
      </c>
      <c r="F138" s="7">
        <f>Ventas[[#This Row],[SUBTOTAL]]*0.16</f>
        <v>105.23519999999999</v>
      </c>
      <c r="G138" s="7">
        <v>4.4800000000122964E-2</v>
      </c>
      <c r="H138" s="7">
        <f>Ventas[[#This Row],[SUBTOTAL]]+Ventas[[#This Row],[IVA]]+Ventas[[#This Row],[DESCUENTO/EXTRA]]</f>
        <v>763</v>
      </c>
      <c r="I138" t="s">
        <v>23</v>
      </c>
      <c r="J138" t="s">
        <v>49</v>
      </c>
      <c r="K138" t="s">
        <v>25</v>
      </c>
      <c r="L138" t="s">
        <v>16</v>
      </c>
    </row>
    <row r="139" spans="1:12">
      <c r="A139" s="3">
        <v>45064</v>
      </c>
      <c r="B139" t="s">
        <v>28</v>
      </c>
      <c r="C139" s="5">
        <v>17</v>
      </c>
      <c r="D139" s="7">
        <v>76</v>
      </c>
      <c r="E139" s="7">
        <f>Ventas[[#This Row],[CANTIDAD]]*Ventas[[#This Row],[PRECIO_UNIT]]</f>
        <v>1292</v>
      </c>
      <c r="F139" s="7">
        <f>Ventas[[#This Row],[SUBTOTAL]]*0.16</f>
        <v>206.72</v>
      </c>
      <c r="G139" s="7">
        <v>17.279999999999973</v>
      </c>
      <c r="H139" s="7">
        <f>Ventas[[#This Row],[SUBTOTAL]]+Ventas[[#This Row],[IVA]]+Ventas[[#This Row],[DESCUENTO/EXTRA]]</f>
        <v>1516</v>
      </c>
      <c r="I139" t="s">
        <v>13</v>
      </c>
      <c r="J139" t="s">
        <v>44</v>
      </c>
      <c r="K139" t="s">
        <v>25</v>
      </c>
      <c r="L139" t="s">
        <v>16</v>
      </c>
    </row>
    <row r="140" spans="1:12">
      <c r="A140" s="3">
        <v>45065</v>
      </c>
      <c r="B140" t="s">
        <v>40</v>
      </c>
      <c r="C140" s="5">
        <v>7</v>
      </c>
      <c r="D140" s="7">
        <v>35.049999999999997</v>
      </c>
      <c r="E140" s="7">
        <f>Ventas[[#This Row],[CANTIDAD]]*Ventas[[#This Row],[PRECIO_UNIT]]</f>
        <v>245.34999999999997</v>
      </c>
      <c r="F140" s="7">
        <f>Ventas[[#This Row],[SUBTOTAL]]*0.16</f>
        <v>39.255999999999993</v>
      </c>
      <c r="G140" s="7">
        <v>2.4000000000057753E-2</v>
      </c>
      <c r="H140" s="7">
        <f>Ventas[[#This Row],[SUBTOTAL]]+Ventas[[#This Row],[IVA]]+Ventas[[#This Row],[DESCUENTO/EXTRA]]</f>
        <v>284.63</v>
      </c>
      <c r="I140" t="s">
        <v>18</v>
      </c>
      <c r="J140" t="s">
        <v>47</v>
      </c>
      <c r="K140" t="s">
        <v>25</v>
      </c>
      <c r="L140" t="s">
        <v>16</v>
      </c>
    </row>
    <row r="141" spans="1:12">
      <c r="A141" s="3">
        <v>45065</v>
      </c>
      <c r="B141" t="s">
        <v>20</v>
      </c>
      <c r="C141" s="5">
        <v>2</v>
      </c>
      <c r="D141" s="7">
        <v>11.08</v>
      </c>
      <c r="E141" s="7">
        <f>Ventas[[#This Row],[CANTIDAD]]*Ventas[[#This Row],[PRECIO_UNIT]]</f>
        <v>22.16</v>
      </c>
      <c r="F141" s="7">
        <f>Ventas[[#This Row],[SUBTOTAL]]*0.16</f>
        <v>3.5456000000000003</v>
      </c>
      <c r="G141" s="7">
        <v>-0.70560000000000045</v>
      </c>
      <c r="H141" s="7">
        <f>Ventas[[#This Row],[SUBTOTAL]]+Ventas[[#This Row],[IVA]]+Ventas[[#This Row],[DESCUENTO/EXTRA]]</f>
        <v>25</v>
      </c>
      <c r="I141" t="s">
        <v>23</v>
      </c>
      <c r="J141" t="s">
        <v>27</v>
      </c>
      <c r="K141" t="s">
        <v>25</v>
      </c>
      <c r="L141" t="s">
        <v>16</v>
      </c>
    </row>
    <row r="142" spans="1:12">
      <c r="A142" s="3">
        <v>45066</v>
      </c>
      <c r="B142" t="s">
        <v>17</v>
      </c>
      <c r="C142" s="5">
        <v>20</v>
      </c>
      <c r="D142" s="7">
        <v>32</v>
      </c>
      <c r="E142" s="7">
        <f>Ventas[[#This Row],[CANTIDAD]]*Ventas[[#This Row],[PRECIO_UNIT]]</f>
        <v>640</v>
      </c>
      <c r="F142" s="7">
        <f>Ventas[[#This Row],[SUBTOTAL]]*0.16</f>
        <v>102.4</v>
      </c>
      <c r="G142" s="7">
        <v>12.600000000000023</v>
      </c>
      <c r="H142" s="7">
        <f>Ventas[[#This Row],[SUBTOTAL]]+Ventas[[#This Row],[IVA]]+Ventas[[#This Row],[DESCUENTO/EXTRA]]</f>
        <v>755</v>
      </c>
      <c r="I142" t="s">
        <v>18</v>
      </c>
      <c r="J142" t="s">
        <v>52</v>
      </c>
      <c r="K142" t="s">
        <v>15</v>
      </c>
      <c r="L142" t="s">
        <v>16</v>
      </c>
    </row>
    <row r="143" spans="1:12">
      <c r="A143" s="3">
        <v>45066</v>
      </c>
      <c r="B143" t="s">
        <v>28</v>
      </c>
      <c r="C143" s="5">
        <v>7</v>
      </c>
      <c r="D143" s="7">
        <v>83</v>
      </c>
      <c r="E143" s="7">
        <f>Ventas[[#This Row],[CANTIDAD]]*Ventas[[#This Row],[PRECIO_UNIT]]</f>
        <v>581</v>
      </c>
      <c r="F143" s="7">
        <f>Ventas[[#This Row],[SUBTOTAL]]*0.16</f>
        <v>92.960000000000008</v>
      </c>
      <c r="G143" s="7">
        <v>7.0399999999999636</v>
      </c>
      <c r="H143" s="7">
        <f>Ventas[[#This Row],[SUBTOTAL]]+Ventas[[#This Row],[IVA]]+Ventas[[#This Row],[DESCUENTO/EXTRA]]</f>
        <v>681</v>
      </c>
      <c r="I143" t="s">
        <v>23</v>
      </c>
      <c r="J143" t="s">
        <v>47</v>
      </c>
      <c r="K143" t="s">
        <v>15</v>
      </c>
      <c r="L143" t="s">
        <v>16</v>
      </c>
    </row>
    <row r="144" spans="1:12">
      <c r="A144" s="3">
        <v>45067</v>
      </c>
      <c r="B144" t="s">
        <v>45</v>
      </c>
      <c r="C144" s="5">
        <v>6</v>
      </c>
      <c r="D144" s="7">
        <v>49</v>
      </c>
      <c r="E144" s="7">
        <f>Ventas[[#This Row],[CANTIDAD]]*Ventas[[#This Row],[PRECIO_UNIT]]</f>
        <v>294</v>
      </c>
      <c r="F144" s="7">
        <f>Ventas[[#This Row],[SUBTOTAL]]*0.16</f>
        <v>47.04</v>
      </c>
      <c r="G144" s="7">
        <v>-0.98000000000001819</v>
      </c>
      <c r="H144" s="7">
        <f>Ventas[[#This Row],[SUBTOTAL]]+Ventas[[#This Row],[IVA]]+Ventas[[#This Row],[DESCUENTO/EXTRA]]</f>
        <v>340.06</v>
      </c>
      <c r="I144" t="s">
        <v>18</v>
      </c>
      <c r="J144" t="s">
        <v>38</v>
      </c>
      <c r="K144" t="s">
        <v>25</v>
      </c>
      <c r="L144" t="s">
        <v>16</v>
      </c>
    </row>
    <row r="145" spans="1:12">
      <c r="A145" s="3">
        <v>45067</v>
      </c>
      <c r="B145" t="s">
        <v>12</v>
      </c>
      <c r="C145" s="5">
        <v>21</v>
      </c>
      <c r="D145" s="7">
        <v>53.15</v>
      </c>
      <c r="E145" s="7">
        <f>Ventas[[#This Row],[CANTIDAD]]*Ventas[[#This Row],[PRECIO_UNIT]]</f>
        <v>1116.1499999999999</v>
      </c>
      <c r="F145" s="7">
        <f>Ventas[[#This Row],[SUBTOTAL]]*0.16</f>
        <v>178.58399999999997</v>
      </c>
      <c r="G145" s="7">
        <v>6.0000000000854925E-3</v>
      </c>
      <c r="H145" s="7">
        <f>Ventas[[#This Row],[SUBTOTAL]]+Ventas[[#This Row],[IVA]]+Ventas[[#This Row],[DESCUENTO/EXTRA]]</f>
        <v>1294.74</v>
      </c>
      <c r="I145" t="s">
        <v>23</v>
      </c>
      <c r="J145" t="s">
        <v>54</v>
      </c>
      <c r="K145" t="s">
        <v>15</v>
      </c>
      <c r="L145" t="s">
        <v>16</v>
      </c>
    </row>
    <row r="146" spans="1:12">
      <c r="A146" s="3">
        <v>45067</v>
      </c>
      <c r="B146" t="s">
        <v>17</v>
      </c>
      <c r="C146" s="5">
        <v>4</v>
      </c>
      <c r="D146" s="7">
        <v>35.590000000000003</v>
      </c>
      <c r="E146" s="7">
        <f>Ventas[[#This Row],[CANTIDAD]]*Ventas[[#This Row],[PRECIO_UNIT]]</f>
        <v>142.36000000000001</v>
      </c>
      <c r="F146" s="7">
        <f>Ventas[[#This Row],[SUBTOTAL]]*0.16</f>
        <v>22.777600000000003</v>
      </c>
      <c r="G146" s="7">
        <v>-7.6000000000249202E-3</v>
      </c>
      <c r="H146" s="7">
        <f>Ventas[[#This Row],[SUBTOTAL]]+Ventas[[#This Row],[IVA]]+Ventas[[#This Row],[DESCUENTO/EXTRA]]</f>
        <v>165.13</v>
      </c>
      <c r="I146" t="s">
        <v>32</v>
      </c>
      <c r="J146" t="s">
        <v>24</v>
      </c>
      <c r="K146" t="s">
        <v>15</v>
      </c>
      <c r="L146" t="s">
        <v>16</v>
      </c>
    </row>
    <row r="147" spans="1:12">
      <c r="A147" s="3">
        <v>45068</v>
      </c>
      <c r="B147" t="s">
        <v>12</v>
      </c>
      <c r="C147" s="5">
        <v>17</v>
      </c>
      <c r="D147" s="7">
        <v>60</v>
      </c>
      <c r="E147" s="7">
        <f>Ventas[[#This Row],[CANTIDAD]]*Ventas[[#This Row],[PRECIO_UNIT]]</f>
        <v>1020</v>
      </c>
      <c r="F147" s="7">
        <f>Ventas[[#This Row],[SUBTOTAL]]*0.16</f>
        <v>163.20000000000002</v>
      </c>
      <c r="G147" s="7">
        <v>6.7999999999999545</v>
      </c>
      <c r="H147" s="7">
        <f>Ventas[[#This Row],[SUBTOTAL]]+Ventas[[#This Row],[IVA]]+Ventas[[#This Row],[DESCUENTO/EXTRA]]</f>
        <v>1190</v>
      </c>
      <c r="I147" t="s">
        <v>13</v>
      </c>
      <c r="J147" t="s">
        <v>44</v>
      </c>
      <c r="K147" t="s">
        <v>25</v>
      </c>
      <c r="L147" t="s">
        <v>16</v>
      </c>
    </row>
    <row r="148" spans="1:12">
      <c r="A148" s="3">
        <v>45069</v>
      </c>
      <c r="B148" t="s">
        <v>35</v>
      </c>
      <c r="C148" s="5">
        <v>10</v>
      </c>
      <c r="D148" s="7">
        <v>26.66</v>
      </c>
      <c r="E148" s="7">
        <f>Ventas[[#This Row],[CANTIDAD]]*Ventas[[#This Row],[PRECIO_UNIT]]</f>
        <v>266.60000000000002</v>
      </c>
      <c r="F148" s="7">
        <f>Ventas[[#This Row],[SUBTOTAL]]*0.16</f>
        <v>42.656000000000006</v>
      </c>
      <c r="G148" s="7">
        <v>4.399999999998272E-2</v>
      </c>
      <c r="H148" s="7">
        <f>Ventas[[#This Row],[SUBTOTAL]]+Ventas[[#This Row],[IVA]]+Ventas[[#This Row],[DESCUENTO/EXTRA]]</f>
        <v>309.3</v>
      </c>
      <c r="I148" t="s">
        <v>23</v>
      </c>
      <c r="J148" t="s">
        <v>55</v>
      </c>
      <c r="K148" t="s">
        <v>15</v>
      </c>
      <c r="L148" t="s">
        <v>16</v>
      </c>
    </row>
    <row r="149" spans="1:12">
      <c r="A149" s="3">
        <v>45071</v>
      </c>
      <c r="B149" t="s">
        <v>45</v>
      </c>
      <c r="C149" s="5">
        <v>18</v>
      </c>
      <c r="D149" s="7">
        <v>44</v>
      </c>
      <c r="E149" s="7">
        <f>Ventas[[#This Row],[CANTIDAD]]*Ventas[[#This Row],[PRECIO_UNIT]]</f>
        <v>792</v>
      </c>
      <c r="F149" s="7">
        <f>Ventas[[#This Row],[SUBTOTAL]]*0.16</f>
        <v>126.72</v>
      </c>
      <c r="G149" s="7">
        <v>1.999999999998181E-2</v>
      </c>
      <c r="H149" s="7">
        <f>Ventas[[#This Row],[SUBTOTAL]]+Ventas[[#This Row],[IVA]]+Ventas[[#This Row],[DESCUENTO/EXTRA]]</f>
        <v>918.74</v>
      </c>
      <c r="I149" t="s">
        <v>23</v>
      </c>
      <c r="J149" t="s">
        <v>14</v>
      </c>
      <c r="K149" t="s">
        <v>15</v>
      </c>
      <c r="L149" t="s">
        <v>16</v>
      </c>
    </row>
    <row r="150" spans="1:12">
      <c r="A150" s="3">
        <v>45075</v>
      </c>
      <c r="B150" t="s">
        <v>26</v>
      </c>
      <c r="C150" s="5">
        <v>26</v>
      </c>
      <c r="D150" s="7">
        <v>42.85</v>
      </c>
      <c r="E150" s="7">
        <f>Ventas[[#This Row],[CANTIDAD]]*Ventas[[#This Row],[PRECIO_UNIT]]</f>
        <v>1114.1000000000001</v>
      </c>
      <c r="F150" s="7">
        <f>Ventas[[#This Row],[SUBTOTAL]]*0.16</f>
        <v>178.25600000000003</v>
      </c>
      <c r="G150" s="7">
        <v>0.10399999999981446</v>
      </c>
      <c r="H150" s="7">
        <f>Ventas[[#This Row],[SUBTOTAL]]+Ventas[[#This Row],[IVA]]+Ventas[[#This Row],[DESCUENTO/EXTRA]]</f>
        <v>1292.46</v>
      </c>
      <c r="I150" t="s">
        <v>13</v>
      </c>
      <c r="J150" t="s">
        <v>54</v>
      </c>
      <c r="K150" t="s">
        <v>15</v>
      </c>
      <c r="L150" t="s">
        <v>16</v>
      </c>
    </row>
    <row r="151" spans="1:12">
      <c r="A151" s="3">
        <v>45075</v>
      </c>
      <c r="B151" t="s">
        <v>26</v>
      </c>
      <c r="C151" s="5">
        <v>27</v>
      </c>
      <c r="D151" s="7">
        <v>43</v>
      </c>
      <c r="E151" s="7">
        <f>Ventas[[#This Row],[CANTIDAD]]*Ventas[[#This Row],[PRECIO_UNIT]]</f>
        <v>1161</v>
      </c>
      <c r="F151" s="7">
        <f>Ventas[[#This Row],[SUBTOTAL]]*0.16</f>
        <v>185.76</v>
      </c>
      <c r="G151" s="7">
        <v>-9.2300000000000182</v>
      </c>
      <c r="H151" s="7">
        <f>Ventas[[#This Row],[SUBTOTAL]]+Ventas[[#This Row],[IVA]]+Ventas[[#This Row],[DESCUENTO/EXTRA]]</f>
        <v>1337.53</v>
      </c>
      <c r="I151" t="s">
        <v>13</v>
      </c>
      <c r="J151" t="s">
        <v>49</v>
      </c>
      <c r="K151" t="s">
        <v>15</v>
      </c>
      <c r="L151" t="s">
        <v>16</v>
      </c>
    </row>
    <row r="152" spans="1:12">
      <c r="A152" s="3">
        <v>45077</v>
      </c>
      <c r="B152" t="s">
        <v>22</v>
      </c>
      <c r="C152" s="5">
        <v>25</v>
      </c>
      <c r="D152" s="7">
        <v>21</v>
      </c>
      <c r="E152" s="7">
        <f>Ventas[[#This Row],[CANTIDAD]]*Ventas[[#This Row],[PRECIO_UNIT]]</f>
        <v>525</v>
      </c>
      <c r="F152" s="7">
        <f>Ventas[[#This Row],[SUBTOTAL]]*0.16</f>
        <v>84</v>
      </c>
      <c r="G152" s="7">
        <v>2</v>
      </c>
      <c r="H152" s="7">
        <f>Ventas[[#This Row],[SUBTOTAL]]+Ventas[[#This Row],[IVA]]+Ventas[[#This Row],[DESCUENTO/EXTRA]]</f>
        <v>611</v>
      </c>
      <c r="I152" t="s">
        <v>18</v>
      </c>
      <c r="J152" t="s">
        <v>19</v>
      </c>
      <c r="K152" t="s">
        <v>15</v>
      </c>
      <c r="L152" t="s">
        <v>16</v>
      </c>
    </row>
    <row r="153" spans="1:12">
      <c r="A153" s="3">
        <v>45079</v>
      </c>
      <c r="B153" t="s">
        <v>35</v>
      </c>
      <c r="C153" s="5">
        <v>5</v>
      </c>
      <c r="D153" s="7">
        <v>26.31</v>
      </c>
      <c r="E153" s="7">
        <f>Ventas[[#This Row],[CANTIDAD]]*Ventas[[#This Row],[PRECIO_UNIT]]</f>
        <v>131.54999999999998</v>
      </c>
      <c r="F153" s="7">
        <f>Ventas[[#This Row],[SUBTOTAL]]*0.16</f>
        <v>21.047999999999998</v>
      </c>
      <c r="G153" s="7">
        <v>-7.9999999999813554E-3</v>
      </c>
      <c r="H153" s="7">
        <f>Ventas[[#This Row],[SUBTOTAL]]+Ventas[[#This Row],[IVA]]+Ventas[[#This Row],[DESCUENTO/EXTRA]]</f>
        <v>152.59</v>
      </c>
      <c r="I153" t="s">
        <v>18</v>
      </c>
      <c r="J153" t="s">
        <v>19</v>
      </c>
      <c r="K153" t="s">
        <v>15</v>
      </c>
      <c r="L153" t="s">
        <v>16</v>
      </c>
    </row>
    <row r="154" spans="1:12">
      <c r="A154" s="3">
        <v>45080</v>
      </c>
      <c r="B154" t="s">
        <v>35</v>
      </c>
      <c r="C154" s="5">
        <v>23</v>
      </c>
      <c r="D154" s="7">
        <v>26.35</v>
      </c>
      <c r="E154" s="7">
        <f>Ventas[[#This Row],[CANTIDAD]]*Ventas[[#This Row],[PRECIO_UNIT]]</f>
        <v>606.05000000000007</v>
      </c>
      <c r="F154" s="7">
        <f>Ventas[[#This Row],[SUBTOTAL]]*0.16</f>
        <v>96.968000000000018</v>
      </c>
      <c r="G154" s="7">
        <v>-5.7999999999992724E-2</v>
      </c>
      <c r="H154" s="7">
        <f>Ventas[[#This Row],[SUBTOTAL]]+Ventas[[#This Row],[IVA]]+Ventas[[#This Row],[DESCUENTO/EXTRA]]</f>
        <v>702.96</v>
      </c>
      <c r="I154" t="s">
        <v>18</v>
      </c>
      <c r="J154" t="s">
        <v>55</v>
      </c>
      <c r="K154" t="s">
        <v>15</v>
      </c>
      <c r="L154" t="s">
        <v>16</v>
      </c>
    </row>
    <row r="155" spans="1:12">
      <c r="A155" s="3">
        <v>45083</v>
      </c>
      <c r="B155" t="s">
        <v>37</v>
      </c>
      <c r="C155" s="5">
        <v>23</v>
      </c>
      <c r="D155" s="7">
        <v>23.05</v>
      </c>
      <c r="E155" s="7">
        <f>Ventas[[#This Row],[CANTIDAD]]*Ventas[[#This Row],[PRECIO_UNIT]]</f>
        <v>530.15</v>
      </c>
      <c r="F155" s="7">
        <f>Ventas[[#This Row],[SUBTOTAL]]*0.16</f>
        <v>84.823999999999998</v>
      </c>
      <c r="G155" s="7">
        <v>6.6000000000030923E-2</v>
      </c>
      <c r="H155" s="7">
        <f>Ventas[[#This Row],[SUBTOTAL]]+Ventas[[#This Row],[IVA]]+Ventas[[#This Row],[DESCUENTO/EXTRA]]</f>
        <v>615.04</v>
      </c>
      <c r="I155" t="s">
        <v>32</v>
      </c>
      <c r="J155" t="s">
        <v>31</v>
      </c>
      <c r="K155" t="s">
        <v>15</v>
      </c>
      <c r="L155" t="s">
        <v>16</v>
      </c>
    </row>
    <row r="156" spans="1:12">
      <c r="A156" s="3">
        <v>45084</v>
      </c>
      <c r="B156" t="s">
        <v>43</v>
      </c>
      <c r="C156" s="5">
        <v>20</v>
      </c>
      <c r="D156" s="7">
        <v>30</v>
      </c>
      <c r="E156" s="7">
        <f>Ventas[[#This Row],[CANTIDAD]]*Ventas[[#This Row],[PRECIO_UNIT]]</f>
        <v>600</v>
      </c>
      <c r="F156" s="7">
        <f>Ventas[[#This Row],[SUBTOTAL]]*0.16</f>
        <v>96</v>
      </c>
      <c r="G156" s="7">
        <v>3</v>
      </c>
      <c r="H156" s="7">
        <f>Ventas[[#This Row],[SUBTOTAL]]+Ventas[[#This Row],[IVA]]+Ventas[[#This Row],[DESCUENTO/EXTRA]]</f>
        <v>699</v>
      </c>
      <c r="I156" t="s">
        <v>18</v>
      </c>
      <c r="J156" t="s">
        <v>27</v>
      </c>
      <c r="K156" t="s">
        <v>25</v>
      </c>
      <c r="L156" t="s">
        <v>16</v>
      </c>
    </row>
    <row r="157" spans="1:12">
      <c r="A157" s="3">
        <v>45084</v>
      </c>
      <c r="B157" t="s">
        <v>37</v>
      </c>
      <c r="C157" s="5">
        <v>16</v>
      </c>
      <c r="D157" s="7">
        <v>22.07</v>
      </c>
      <c r="E157" s="7">
        <f>Ventas[[#This Row],[CANTIDAD]]*Ventas[[#This Row],[PRECIO_UNIT]]</f>
        <v>353.12</v>
      </c>
      <c r="F157" s="7">
        <f>Ventas[[#This Row],[SUBTOTAL]]*0.16</f>
        <v>56.499200000000002</v>
      </c>
      <c r="G157" s="7">
        <v>1.0800000000017462E-2</v>
      </c>
      <c r="H157" s="7">
        <f>Ventas[[#This Row],[SUBTOTAL]]+Ventas[[#This Row],[IVA]]+Ventas[[#This Row],[DESCUENTO/EXTRA]]</f>
        <v>409.63</v>
      </c>
      <c r="I157" t="s">
        <v>23</v>
      </c>
      <c r="J157" t="s">
        <v>53</v>
      </c>
      <c r="K157" t="s">
        <v>15</v>
      </c>
      <c r="L157" t="s">
        <v>16</v>
      </c>
    </row>
    <row r="158" spans="1:12">
      <c r="A158" s="3">
        <v>45085</v>
      </c>
      <c r="B158" t="s">
        <v>46</v>
      </c>
      <c r="C158" s="5">
        <v>4</v>
      </c>
      <c r="D158" s="7">
        <v>29.38</v>
      </c>
      <c r="E158" s="7">
        <f>Ventas[[#This Row],[CANTIDAD]]*Ventas[[#This Row],[PRECIO_UNIT]]</f>
        <v>117.52</v>
      </c>
      <c r="F158" s="7">
        <f>Ventas[[#This Row],[SUBTOTAL]]*0.16</f>
        <v>18.8032</v>
      </c>
      <c r="G158" s="7">
        <v>-0.32319999999998572</v>
      </c>
      <c r="H158" s="7">
        <f>Ventas[[#This Row],[SUBTOTAL]]+Ventas[[#This Row],[IVA]]+Ventas[[#This Row],[DESCUENTO/EXTRA]]</f>
        <v>136</v>
      </c>
      <c r="I158" t="s">
        <v>23</v>
      </c>
      <c r="J158" t="s">
        <v>14</v>
      </c>
      <c r="K158" t="s">
        <v>25</v>
      </c>
      <c r="L158" t="s">
        <v>16</v>
      </c>
    </row>
    <row r="159" spans="1:12">
      <c r="A159" s="3">
        <v>45085</v>
      </c>
      <c r="B159" t="s">
        <v>20</v>
      </c>
      <c r="C159" s="5">
        <v>8</v>
      </c>
      <c r="D159" s="7">
        <v>10.84</v>
      </c>
      <c r="E159" s="7">
        <f>Ventas[[#This Row],[CANTIDAD]]*Ventas[[#This Row],[PRECIO_UNIT]]</f>
        <v>86.72</v>
      </c>
      <c r="F159" s="7">
        <f>Ventas[[#This Row],[SUBTOTAL]]*0.16</f>
        <v>13.8752</v>
      </c>
      <c r="G159" s="7">
        <v>0.4047999999999945</v>
      </c>
      <c r="H159" s="7">
        <f>Ventas[[#This Row],[SUBTOTAL]]+Ventas[[#This Row],[IVA]]+Ventas[[#This Row],[DESCUENTO/EXTRA]]</f>
        <v>101</v>
      </c>
      <c r="I159" t="s">
        <v>23</v>
      </c>
      <c r="J159" t="s">
        <v>33</v>
      </c>
      <c r="K159" t="s">
        <v>15</v>
      </c>
      <c r="L159" t="s">
        <v>16</v>
      </c>
    </row>
    <row r="160" spans="1:12">
      <c r="A160" s="3">
        <v>45086</v>
      </c>
      <c r="B160" t="s">
        <v>40</v>
      </c>
      <c r="C160" s="5">
        <v>10</v>
      </c>
      <c r="D160" s="7">
        <v>32</v>
      </c>
      <c r="E160" s="7">
        <f>Ventas[[#This Row],[CANTIDAD]]*Ventas[[#This Row],[PRECIO_UNIT]]</f>
        <v>320</v>
      </c>
      <c r="F160" s="7">
        <f>Ventas[[#This Row],[SUBTOTAL]]*0.16</f>
        <v>51.2</v>
      </c>
      <c r="G160" s="7">
        <v>-5.4900000000000091</v>
      </c>
      <c r="H160" s="7">
        <f>Ventas[[#This Row],[SUBTOTAL]]+Ventas[[#This Row],[IVA]]+Ventas[[#This Row],[DESCUENTO/EXTRA]]</f>
        <v>365.71</v>
      </c>
      <c r="I160" t="s">
        <v>13</v>
      </c>
      <c r="J160" t="s">
        <v>30</v>
      </c>
      <c r="K160" t="s">
        <v>15</v>
      </c>
      <c r="L160" t="s">
        <v>16</v>
      </c>
    </row>
    <row r="161" spans="1:12">
      <c r="A161" s="3">
        <v>45088</v>
      </c>
      <c r="B161" t="s">
        <v>35</v>
      </c>
      <c r="C161" s="5">
        <v>13</v>
      </c>
      <c r="D161" s="7">
        <v>27.37</v>
      </c>
      <c r="E161" s="7">
        <f>Ventas[[#This Row],[CANTIDAD]]*Ventas[[#This Row],[PRECIO_UNIT]]</f>
        <v>355.81</v>
      </c>
      <c r="F161" s="7">
        <f>Ventas[[#This Row],[SUBTOTAL]]*0.16</f>
        <v>56.929600000000001</v>
      </c>
      <c r="G161" s="7">
        <v>0.26040000000000418</v>
      </c>
      <c r="H161" s="7">
        <f>Ventas[[#This Row],[SUBTOTAL]]+Ventas[[#This Row],[IVA]]+Ventas[[#This Row],[DESCUENTO/EXTRA]]</f>
        <v>413</v>
      </c>
      <c r="I161" t="s">
        <v>13</v>
      </c>
      <c r="J161" t="s">
        <v>49</v>
      </c>
      <c r="K161" t="s">
        <v>15</v>
      </c>
      <c r="L161" t="s">
        <v>16</v>
      </c>
    </row>
    <row r="162" spans="1:12">
      <c r="A162" s="3">
        <v>45090</v>
      </c>
      <c r="B162" t="s">
        <v>12</v>
      </c>
      <c r="C162" s="5">
        <v>24</v>
      </c>
      <c r="D162" s="7">
        <v>60.63</v>
      </c>
      <c r="E162" s="7">
        <f>Ventas[[#This Row],[CANTIDAD]]*Ventas[[#This Row],[PRECIO_UNIT]]</f>
        <v>1455.1200000000001</v>
      </c>
      <c r="F162" s="7">
        <f>Ventas[[#This Row],[SUBTOTAL]]*0.16</f>
        <v>232.81920000000002</v>
      </c>
      <c r="G162" s="7">
        <v>0.12079999999969004</v>
      </c>
      <c r="H162" s="7">
        <f>Ventas[[#This Row],[SUBTOTAL]]+Ventas[[#This Row],[IVA]]+Ventas[[#This Row],[DESCUENTO/EXTRA]]</f>
        <v>1688.06</v>
      </c>
      <c r="I162" t="s">
        <v>23</v>
      </c>
      <c r="J162" t="s">
        <v>47</v>
      </c>
      <c r="K162" t="s">
        <v>25</v>
      </c>
      <c r="L162" t="s">
        <v>16</v>
      </c>
    </row>
    <row r="163" spans="1:12">
      <c r="A163" s="3">
        <v>45090</v>
      </c>
      <c r="B163" t="s">
        <v>40</v>
      </c>
      <c r="C163" s="5">
        <v>9</v>
      </c>
      <c r="D163" s="7">
        <v>35</v>
      </c>
      <c r="E163" s="7">
        <f>Ventas[[#This Row],[CANTIDAD]]*Ventas[[#This Row],[PRECIO_UNIT]]</f>
        <v>315</v>
      </c>
      <c r="F163" s="7">
        <f>Ventas[[#This Row],[SUBTOTAL]]*0.16</f>
        <v>50.4</v>
      </c>
      <c r="G163" s="7">
        <v>-2.3999999999999773</v>
      </c>
      <c r="H163" s="7">
        <f>Ventas[[#This Row],[SUBTOTAL]]+Ventas[[#This Row],[IVA]]+Ventas[[#This Row],[DESCUENTO/EXTRA]]</f>
        <v>363</v>
      </c>
      <c r="I163" t="s">
        <v>41</v>
      </c>
      <c r="J163" t="s">
        <v>47</v>
      </c>
      <c r="K163" t="s">
        <v>25</v>
      </c>
      <c r="L163" t="s">
        <v>16</v>
      </c>
    </row>
    <row r="164" spans="1:12">
      <c r="A164" s="3">
        <v>45091</v>
      </c>
      <c r="B164" t="s">
        <v>40</v>
      </c>
      <c r="C164" s="5">
        <v>7</v>
      </c>
      <c r="D164" s="7">
        <v>31</v>
      </c>
      <c r="E164" s="7">
        <f>Ventas[[#This Row],[CANTIDAD]]*Ventas[[#This Row],[PRECIO_UNIT]]</f>
        <v>217</v>
      </c>
      <c r="F164" s="7">
        <f>Ventas[[#This Row],[SUBTOTAL]]*0.16</f>
        <v>34.72</v>
      </c>
      <c r="G164" s="7">
        <v>3.2800000000000011</v>
      </c>
      <c r="H164" s="7">
        <f>Ventas[[#This Row],[SUBTOTAL]]+Ventas[[#This Row],[IVA]]+Ventas[[#This Row],[DESCUENTO/EXTRA]]</f>
        <v>255</v>
      </c>
      <c r="I164" t="s">
        <v>18</v>
      </c>
      <c r="J164" t="s">
        <v>50</v>
      </c>
      <c r="K164" t="s">
        <v>25</v>
      </c>
      <c r="L164" t="s">
        <v>16</v>
      </c>
    </row>
    <row r="165" spans="1:12">
      <c r="A165" s="3">
        <v>45093</v>
      </c>
      <c r="B165" t="s">
        <v>35</v>
      </c>
      <c r="C165" s="5">
        <v>11</v>
      </c>
      <c r="D165" s="7">
        <v>25.46</v>
      </c>
      <c r="E165" s="7">
        <f>Ventas[[#This Row],[CANTIDAD]]*Ventas[[#This Row],[PRECIO_UNIT]]</f>
        <v>280.06</v>
      </c>
      <c r="F165" s="7">
        <f>Ventas[[#This Row],[SUBTOTAL]]*0.16</f>
        <v>44.809600000000003</v>
      </c>
      <c r="G165" s="7">
        <v>5.0400000000024647E-2</v>
      </c>
      <c r="H165" s="7">
        <f>Ventas[[#This Row],[SUBTOTAL]]+Ventas[[#This Row],[IVA]]+Ventas[[#This Row],[DESCUENTO/EXTRA]]</f>
        <v>324.92</v>
      </c>
      <c r="I165" t="s">
        <v>13</v>
      </c>
      <c r="J165" t="s">
        <v>29</v>
      </c>
      <c r="K165" t="s">
        <v>15</v>
      </c>
      <c r="L165" t="s">
        <v>16</v>
      </c>
    </row>
    <row r="166" spans="1:12">
      <c r="A166" s="3">
        <v>45094</v>
      </c>
      <c r="B166" t="s">
        <v>37</v>
      </c>
      <c r="C166" s="5">
        <v>21</v>
      </c>
      <c r="D166" s="7">
        <v>22</v>
      </c>
      <c r="E166" s="7">
        <f>Ventas[[#This Row],[CANTIDAD]]*Ventas[[#This Row],[PRECIO_UNIT]]</f>
        <v>462</v>
      </c>
      <c r="F166" s="7">
        <f>Ventas[[#This Row],[SUBTOTAL]]*0.16</f>
        <v>73.92</v>
      </c>
      <c r="G166" s="7">
        <v>5.0800000000000409</v>
      </c>
      <c r="H166" s="7">
        <f>Ventas[[#This Row],[SUBTOTAL]]+Ventas[[#This Row],[IVA]]+Ventas[[#This Row],[DESCUENTO/EXTRA]]</f>
        <v>541</v>
      </c>
      <c r="I166" t="s">
        <v>18</v>
      </c>
      <c r="J166" t="s">
        <v>33</v>
      </c>
      <c r="K166" t="s">
        <v>25</v>
      </c>
      <c r="L166" t="s">
        <v>16</v>
      </c>
    </row>
    <row r="167" spans="1:12">
      <c r="A167" s="3">
        <v>45096</v>
      </c>
      <c r="B167" t="s">
        <v>35</v>
      </c>
      <c r="C167" s="5">
        <v>11</v>
      </c>
      <c r="D167" s="7">
        <v>25</v>
      </c>
      <c r="E167" s="7">
        <f>Ventas[[#This Row],[CANTIDAD]]*Ventas[[#This Row],[PRECIO_UNIT]]</f>
        <v>275</v>
      </c>
      <c r="F167" s="7">
        <f>Ventas[[#This Row],[SUBTOTAL]]*0.16</f>
        <v>44</v>
      </c>
      <c r="G167" s="7">
        <v>-6</v>
      </c>
      <c r="H167" s="7">
        <f>Ventas[[#This Row],[SUBTOTAL]]+Ventas[[#This Row],[IVA]]+Ventas[[#This Row],[DESCUENTO/EXTRA]]</f>
        <v>313</v>
      </c>
      <c r="I167" t="s">
        <v>23</v>
      </c>
      <c r="J167" t="s">
        <v>44</v>
      </c>
      <c r="K167" t="s">
        <v>25</v>
      </c>
      <c r="L167" t="s">
        <v>16</v>
      </c>
    </row>
    <row r="168" spans="1:12">
      <c r="A168" s="3">
        <v>45098</v>
      </c>
      <c r="B168" t="s">
        <v>26</v>
      </c>
      <c r="C168" s="5">
        <v>18</v>
      </c>
      <c r="D168" s="7">
        <v>38.99</v>
      </c>
      <c r="E168" s="7">
        <f>Ventas[[#This Row],[CANTIDAD]]*Ventas[[#This Row],[PRECIO_UNIT]]</f>
        <v>701.82</v>
      </c>
      <c r="F168" s="7">
        <f>Ventas[[#This Row],[SUBTOTAL]]*0.16</f>
        <v>112.2912</v>
      </c>
      <c r="G168" s="7">
        <v>-0.11120000000005348</v>
      </c>
      <c r="H168" s="7">
        <f>Ventas[[#This Row],[SUBTOTAL]]+Ventas[[#This Row],[IVA]]+Ventas[[#This Row],[DESCUENTO/EXTRA]]</f>
        <v>814</v>
      </c>
      <c r="I168" t="s">
        <v>18</v>
      </c>
      <c r="J168" t="s">
        <v>53</v>
      </c>
      <c r="K168" t="s">
        <v>15</v>
      </c>
      <c r="L168" t="s">
        <v>16</v>
      </c>
    </row>
    <row r="169" spans="1:12">
      <c r="A169" s="3">
        <v>45099</v>
      </c>
      <c r="B169" t="s">
        <v>22</v>
      </c>
      <c r="C169" s="5">
        <v>18</v>
      </c>
      <c r="D169" s="7">
        <v>22.42</v>
      </c>
      <c r="E169" s="7">
        <f>Ventas[[#This Row],[CANTIDAD]]*Ventas[[#This Row],[PRECIO_UNIT]]</f>
        <v>403.56000000000006</v>
      </c>
      <c r="F169" s="7">
        <f>Ventas[[#This Row],[SUBTOTAL]]*0.16</f>
        <v>64.569600000000008</v>
      </c>
      <c r="G169" s="7">
        <v>5.039999999991096E-2</v>
      </c>
      <c r="H169" s="7">
        <f>Ventas[[#This Row],[SUBTOTAL]]+Ventas[[#This Row],[IVA]]+Ventas[[#This Row],[DESCUENTO/EXTRA]]</f>
        <v>468.18</v>
      </c>
      <c r="I169" t="s">
        <v>23</v>
      </c>
      <c r="J169" t="s">
        <v>52</v>
      </c>
      <c r="K169" t="s">
        <v>25</v>
      </c>
      <c r="L169" t="s">
        <v>16</v>
      </c>
    </row>
    <row r="170" spans="1:12">
      <c r="A170" s="3">
        <v>45100</v>
      </c>
      <c r="B170" t="s">
        <v>22</v>
      </c>
      <c r="C170" s="5">
        <v>1</v>
      </c>
      <c r="D170" s="7">
        <v>21.02</v>
      </c>
      <c r="E170" s="7">
        <f>Ventas[[#This Row],[CANTIDAD]]*Ventas[[#This Row],[PRECIO_UNIT]]</f>
        <v>21.02</v>
      </c>
      <c r="F170" s="7">
        <f>Ventas[[#This Row],[SUBTOTAL]]*0.16</f>
        <v>3.3632</v>
      </c>
      <c r="G170" s="7">
        <v>6.8000000000019156E-3</v>
      </c>
      <c r="H170" s="7">
        <f>Ventas[[#This Row],[SUBTOTAL]]+Ventas[[#This Row],[IVA]]+Ventas[[#This Row],[DESCUENTO/EXTRA]]</f>
        <v>24.39</v>
      </c>
      <c r="I170" t="s">
        <v>23</v>
      </c>
      <c r="J170" t="s">
        <v>42</v>
      </c>
      <c r="K170" t="s">
        <v>15</v>
      </c>
      <c r="L170" t="s">
        <v>16</v>
      </c>
    </row>
    <row r="171" spans="1:12">
      <c r="A171" s="3">
        <v>45100</v>
      </c>
      <c r="B171" t="s">
        <v>43</v>
      </c>
      <c r="C171" s="5">
        <v>23</v>
      </c>
      <c r="D171" s="7">
        <v>29</v>
      </c>
      <c r="E171" s="7">
        <f>Ventas[[#This Row],[CANTIDAD]]*Ventas[[#This Row],[PRECIO_UNIT]]</f>
        <v>667</v>
      </c>
      <c r="F171" s="7">
        <f>Ventas[[#This Row],[SUBTOTAL]]*0.16</f>
        <v>106.72</v>
      </c>
      <c r="G171" s="7">
        <v>-8.0500000000000682</v>
      </c>
      <c r="H171" s="7">
        <f>Ventas[[#This Row],[SUBTOTAL]]+Ventas[[#This Row],[IVA]]+Ventas[[#This Row],[DESCUENTO/EXTRA]]</f>
        <v>765.67</v>
      </c>
      <c r="I171" t="s">
        <v>23</v>
      </c>
      <c r="J171" t="s">
        <v>52</v>
      </c>
      <c r="K171" t="s">
        <v>15</v>
      </c>
      <c r="L171" t="s">
        <v>16</v>
      </c>
    </row>
    <row r="172" spans="1:12">
      <c r="A172" s="3">
        <v>45101</v>
      </c>
      <c r="B172" t="s">
        <v>28</v>
      </c>
      <c r="C172" s="5">
        <v>14</v>
      </c>
      <c r="D172" s="7">
        <v>80</v>
      </c>
      <c r="E172" s="7">
        <f>Ventas[[#This Row],[CANTIDAD]]*Ventas[[#This Row],[PRECIO_UNIT]]</f>
        <v>1120</v>
      </c>
      <c r="F172" s="7">
        <f>Ventas[[#This Row],[SUBTOTAL]]*0.16</f>
        <v>179.20000000000002</v>
      </c>
      <c r="G172" s="7">
        <v>-7.2000000000000455</v>
      </c>
      <c r="H172" s="7">
        <f>Ventas[[#This Row],[SUBTOTAL]]+Ventas[[#This Row],[IVA]]+Ventas[[#This Row],[DESCUENTO/EXTRA]]</f>
        <v>1292</v>
      </c>
      <c r="I172" t="s">
        <v>18</v>
      </c>
      <c r="J172" t="s">
        <v>54</v>
      </c>
      <c r="K172" t="s">
        <v>25</v>
      </c>
      <c r="L172" t="s">
        <v>16</v>
      </c>
    </row>
    <row r="173" spans="1:12">
      <c r="A173" s="3">
        <v>45101</v>
      </c>
      <c r="B173" t="s">
        <v>46</v>
      </c>
      <c r="C173" s="5">
        <v>7</v>
      </c>
      <c r="D173" s="7">
        <v>27</v>
      </c>
      <c r="E173" s="7">
        <f>Ventas[[#This Row],[CANTIDAD]]*Ventas[[#This Row],[PRECIO_UNIT]]</f>
        <v>189</v>
      </c>
      <c r="F173" s="7">
        <f>Ventas[[#This Row],[SUBTOTAL]]*0.16</f>
        <v>30.240000000000002</v>
      </c>
      <c r="G173" s="7">
        <v>3.7599999999999909</v>
      </c>
      <c r="H173" s="7">
        <f>Ventas[[#This Row],[SUBTOTAL]]+Ventas[[#This Row],[IVA]]+Ventas[[#This Row],[DESCUENTO/EXTRA]]</f>
        <v>223</v>
      </c>
      <c r="I173" t="s">
        <v>18</v>
      </c>
      <c r="J173" t="s">
        <v>34</v>
      </c>
      <c r="K173" t="s">
        <v>15</v>
      </c>
      <c r="L173" t="s">
        <v>16</v>
      </c>
    </row>
    <row r="174" spans="1:12">
      <c r="A174" s="3">
        <v>45102</v>
      </c>
      <c r="B174" t="s">
        <v>46</v>
      </c>
      <c r="C174" s="5">
        <v>3</v>
      </c>
      <c r="D174" s="7">
        <v>29.05</v>
      </c>
      <c r="E174" s="7">
        <f>Ventas[[#This Row],[CANTIDAD]]*Ventas[[#This Row],[PRECIO_UNIT]]</f>
        <v>87.15</v>
      </c>
      <c r="F174" s="7">
        <f>Ventas[[#This Row],[SUBTOTAL]]*0.16</f>
        <v>13.944000000000001</v>
      </c>
      <c r="G174" s="7">
        <v>-9.4000000000008299E-2</v>
      </c>
      <c r="H174" s="7">
        <f>Ventas[[#This Row],[SUBTOTAL]]+Ventas[[#This Row],[IVA]]+Ventas[[#This Row],[DESCUENTO/EXTRA]]</f>
        <v>101</v>
      </c>
      <c r="I174" t="s">
        <v>18</v>
      </c>
      <c r="J174" t="s">
        <v>55</v>
      </c>
      <c r="K174" t="s">
        <v>25</v>
      </c>
      <c r="L174" t="s">
        <v>16</v>
      </c>
    </row>
    <row r="175" spans="1:12">
      <c r="A175" s="3">
        <v>45103</v>
      </c>
      <c r="B175" t="s">
        <v>35</v>
      </c>
      <c r="C175" s="5">
        <v>7</v>
      </c>
      <c r="D175" s="7">
        <v>26.41</v>
      </c>
      <c r="E175" s="7">
        <f>Ventas[[#This Row],[CANTIDAD]]*Ventas[[#This Row],[PRECIO_UNIT]]</f>
        <v>184.87</v>
      </c>
      <c r="F175" s="7">
        <f>Ventas[[#This Row],[SUBTOTAL]]*0.16</f>
        <v>29.5792</v>
      </c>
      <c r="G175" s="7">
        <v>-0.44920000000001892</v>
      </c>
      <c r="H175" s="7">
        <f>Ventas[[#This Row],[SUBTOTAL]]+Ventas[[#This Row],[IVA]]+Ventas[[#This Row],[DESCUENTO/EXTRA]]</f>
        <v>214</v>
      </c>
      <c r="I175" t="s">
        <v>18</v>
      </c>
      <c r="J175" t="s">
        <v>38</v>
      </c>
      <c r="K175" t="s">
        <v>15</v>
      </c>
      <c r="L175" t="s">
        <v>16</v>
      </c>
    </row>
    <row r="176" spans="1:12">
      <c r="A176" s="3">
        <v>45103</v>
      </c>
      <c r="B176" t="s">
        <v>12</v>
      </c>
      <c r="C176" s="5">
        <v>3</v>
      </c>
      <c r="D176" s="7">
        <v>58.56</v>
      </c>
      <c r="E176" s="7">
        <f>Ventas[[#This Row],[CANTIDAD]]*Ventas[[#This Row],[PRECIO_UNIT]]</f>
        <v>175.68</v>
      </c>
      <c r="F176" s="7">
        <f>Ventas[[#This Row],[SUBTOTAL]]*0.16</f>
        <v>28.108800000000002</v>
      </c>
      <c r="G176" s="7">
        <v>1.1200000000002319E-2</v>
      </c>
      <c r="H176" s="7">
        <f>Ventas[[#This Row],[SUBTOTAL]]+Ventas[[#This Row],[IVA]]+Ventas[[#This Row],[DESCUENTO/EXTRA]]</f>
        <v>203.8</v>
      </c>
      <c r="I176" t="s">
        <v>18</v>
      </c>
      <c r="J176" t="s">
        <v>48</v>
      </c>
      <c r="K176" t="s">
        <v>15</v>
      </c>
      <c r="L176" t="s">
        <v>16</v>
      </c>
    </row>
    <row r="177" spans="1:12">
      <c r="A177" s="3">
        <v>45104</v>
      </c>
      <c r="B177" t="s">
        <v>26</v>
      </c>
      <c r="C177" s="5">
        <v>11</v>
      </c>
      <c r="D177" s="7">
        <v>40.4</v>
      </c>
      <c r="E177" s="7">
        <f>Ventas[[#This Row],[CANTIDAD]]*Ventas[[#This Row],[PRECIO_UNIT]]</f>
        <v>444.4</v>
      </c>
      <c r="F177" s="7">
        <f>Ventas[[#This Row],[SUBTOTAL]]*0.16</f>
        <v>71.103999999999999</v>
      </c>
      <c r="G177" s="7">
        <v>-2.4000000000000909E-2</v>
      </c>
      <c r="H177" s="7">
        <f>Ventas[[#This Row],[SUBTOTAL]]+Ventas[[#This Row],[IVA]]+Ventas[[#This Row],[DESCUENTO/EXTRA]]</f>
        <v>515.48</v>
      </c>
      <c r="I177" t="s">
        <v>23</v>
      </c>
      <c r="J177" t="s">
        <v>30</v>
      </c>
      <c r="K177" t="s">
        <v>15</v>
      </c>
      <c r="L177" t="s">
        <v>16</v>
      </c>
    </row>
    <row r="178" spans="1:12">
      <c r="A178" s="3">
        <v>45107</v>
      </c>
      <c r="B178" t="s">
        <v>43</v>
      </c>
      <c r="C178" s="5">
        <v>6</v>
      </c>
      <c r="D178" s="7">
        <v>29</v>
      </c>
      <c r="E178" s="7">
        <f>Ventas[[#This Row],[CANTIDAD]]*Ventas[[#This Row],[PRECIO_UNIT]]</f>
        <v>174</v>
      </c>
      <c r="F178" s="7">
        <f>Ventas[[#This Row],[SUBTOTAL]]*0.16</f>
        <v>27.84</v>
      </c>
      <c r="G178" s="7">
        <v>-3.8400000000000034</v>
      </c>
      <c r="H178" s="7">
        <f>Ventas[[#This Row],[SUBTOTAL]]+Ventas[[#This Row],[IVA]]+Ventas[[#This Row],[DESCUENTO/EXTRA]]</f>
        <v>198</v>
      </c>
      <c r="I178" t="s">
        <v>18</v>
      </c>
      <c r="J178" t="s">
        <v>44</v>
      </c>
      <c r="K178" t="s">
        <v>25</v>
      </c>
      <c r="L178" t="s">
        <v>16</v>
      </c>
    </row>
    <row r="179" spans="1:12">
      <c r="A179" s="3">
        <v>45108</v>
      </c>
      <c r="B179" t="s">
        <v>26</v>
      </c>
      <c r="C179" s="5">
        <v>22</v>
      </c>
      <c r="D179" s="7">
        <v>39.31</v>
      </c>
      <c r="E179" s="7">
        <f>Ventas[[#This Row],[CANTIDAD]]*Ventas[[#This Row],[PRECIO_UNIT]]</f>
        <v>864.82</v>
      </c>
      <c r="F179" s="7">
        <f>Ventas[[#This Row],[SUBTOTAL]]*0.16</f>
        <v>138.37120000000002</v>
      </c>
      <c r="G179" s="7">
        <v>-5.1200000000108048E-2</v>
      </c>
      <c r="H179" s="7">
        <f>Ventas[[#This Row],[SUBTOTAL]]+Ventas[[#This Row],[IVA]]+Ventas[[#This Row],[DESCUENTO/EXTRA]]</f>
        <v>1003.14</v>
      </c>
      <c r="I179" t="s">
        <v>18</v>
      </c>
      <c r="J179" t="s">
        <v>44</v>
      </c>
      <c r="K179" t="s">
        <v>25</v>
      </c>
      <c r="L179" t="s">
        <v>16</v>
      </c>
    </row>
    <row r="180" spans="1:12">
      <c r="A180" s="3">
        <v>45111</v>
      </c>
      <c r="B180" t="s">
        <v>45</v>
      </c>
      <c r="C180" s="5">
        <v>10</v>
      </c>
      <c r="D180" s="7">
        <v>49.99</v>
      </c>
      <c r="E180" s="7">
        <f>Ventas[[#This Row],[CANTIDAD]]*Ventas[[#This Row],[PRECIO_UNIT]]</f>
        <v>499.90000000000003</v>
      </c>
      <c r="F180" s="7">
        <f>Ventas[[#This Row],[SUBTOTAL]]*0.16</f>
        <v>79.984000000000009</v>
      </c>
      <c r="G180" s="7">
        <v>-5.3999999999973625E-2</v>
      </c>
      <c r="H180" s="7">
        <f>Ventas[[#This Row],[SUBTOTAL]]+Ventas[[#This Row],[IVA]]+Ventas[[#This Row],[DESCUENTO/EXTRA]]</f>
        <v>579.83000000000004</v>
      </c>
      <c r="I180" t="s">
        <v>18</v>
      </c>
      <c r="J180" t="s">
        <v>55</v>
      </c>
      <c r="K180" t="s">
        <v>15</v>
      </c>
      <c r="L180" t="s">
        <v>16</v>
      </c>
    </row>
    <row r="181" spans="1:12">
      <c r="A181" s="3">
        <v>45112</v>
      </c>
      <c r="B181" t="s">
        <v>28</v>
      </c>
      <c r="C181" s="5">
        <v>24</v>
      </c>
      <c r="D181" s="7">
        <v>75.239999999999995</v>
      </c>
      <c r="E181" s="7">
        <f>Ventas[[#This Row],[CANTIDAD]]*Ventas[[#This Row],[PRECIO_UNIT]]</f>
        <v>1805.7599999999998</v>
      </c>
      <c r="F181" s="7">
        <f>Ventas[[#This Row],[SUBTOTAL]]*0.16</f>
        <v>288.92159999999996</v>
      </c>
      <c r="G181" s="7">
        <v>-0.68159999999988941</v>
      </c>
      <c r="H181" s="7">
        <f>Ventas[[#This Row],[SUBTOTAL]]+Ventas[[#This Row],[IVA]]+Ventas[[#This Row],[DESCUENTO/EXTRA]]</f>
        <v>2094</v>
      </c>
      <c r="I181" t="s">
        <v>23</v>
      </c>
      <c r="J181" t="s">
        <v>44</v>
      </c>
      <c r="K181" t="s">
        <v>15</v>
      </c>
      <c r="L181" t="s">
        <v>16</v>
      </c>
    </row>
    <row r="182" spans="1:12">
      <c r="A182" s="3">
        <v>45113</v>
      </c>
      <c r="B182" t="s">
        <v>46</v>
      </c>
      <c r="C182" s="5">
        <v>1</v>
      </c>
      <c r="D182" s="7">
        <v>27.38</v>
      </c>
      <c r="E182" s="7">
        <f>Ventas[[#This Row],[CANTIDAD]]*Ventas[[#This Row],[PRECIO_UNIT]]</f>
        <v>27.38</v>
      </c>
      <c r="F182" s="7">
        <f>Ventas[[#This Row],[SUBTOTAL]]*0.16</f>
        <v>4.3807999999999998</v>
      </c>
      <c r="G182" s="7">
        <v>-7.9999999999813554E-4</v>
      </c>
      <c r="H182" s="7">
        <f>Ventas[[#This Row],[SUBTOTAL]]+Ventas[[#This Row],[IVA]]+Ventas[[#This Row],[DESCUENTO/EXTRA]]</f>
        <v>31.76</v>
      </c>
      <c r="I182" t="s">
        <v>13</v>
      </c>
      <c r="J182" t="s">
        <v>19</v>
      </c>
      <c r="K182" t="s">
        <v>15</v>
      </c>
      <c r="L182" t="s">
        <v>16</v>
      </c>
    </row>
    <row r="183" spans="1:12">
      <c r="A183" s="3">
        <v>45114</v>
      </c>
      <c r="B183" t="s">
        <v>46</v>
      </c>
      <c r="C183" s="5">
        <v>5</v>
      </c>
      <c r="D183" s="7">
        <v>28.64</v>
      </c>
      <c r="E183" s="7">
        <f>Ventas[[#This Row],[CANTIDAD]]*Ventas[[#This Row],[PRECIO_UNIT]]</f>
        <v>143.19999999999999</v>
      </c>
      <c r="F183" s="7">
        <f>Ventas[[#This Row],[SUBTOTAL]]*0.16</f>
        <v>22.911999999999999</v>
      </c>
      <c r="G183" s="7">
        <v>-0.11199999999999477</v>
      </c>
      <c r="H183" s="7">
        <f>Ventas[[#This Row],[SUBTOTAL]]+Ventas[[#This Row],[IVA]]+Ventas[[#This Row],[DESCUENTO/EXTRA]]</f>
        <v>166</v>
      </c>
      <c r="I183" t="s">
        <v>32</v>
      </c>
      <c r="J183" t="s">
        <v>42</v>
      </c>
      <c r="K183" t="s">
        <v>15</v>
      </c>
      <c r="L183" t="s">
        <v>16</v>
      </c>
    </row>
    <row r="184" spans="1:12">
      <c r="A184" s="3">
        <v>45115</v>
      </c>
      <c r="B184" t="s">
        <v>17</v>
      </c>
      <c r="C184" s="5">
        <v>9</v>
      </c>
      <c r="D184" s="7">
        <v>35.69</v>
      </c>
      <c r="E184" s="7">
        <f>Ventas[[#This Row],[CANTIDAD]]*Ventas[[#This Row],[PRECIO_UNIT]]</f>
        <v>321.20999999999998</v>
      </c>
      <c r="F184" s="7">
        <f>Ventas[[#This Row],[SUBTOTAL]]*0.16</f>
        <v>51.393599999999999</v>
      </c>
      <c r="G184" s="7">
        <v>3.6400000000014643E-2</v>
      </c>
      <c r="H184" s="7">
        <f>Ventas[[#This Row],[SUBTOTAL]]+Ventas[[#This Row],[IVA]]+Ventas[[#This Row],[DESCUENTO/EXTRA]]</f>
        <v>372.64</v>
      </c>
      <c r="I184" t="s">
        <v>23</v>
      </c>
      <c r="J184" t="s">
        <v>42</v>
      </c>
      <c r="K184" t="s">
        <v>15</v>
      </c>
      <c r="L184" t="s">
        <v>16</v>
      </c>
    </row>
    <row r="185" spans="1:12">
      <c r="A185" s="3">
        <v>45116</v>
      </c>
      <c r="B185" t="s">
        <v>22</v>
      </c>
      <c r="C185" s="5">
        <v>10</v>
      </c>
      <c r="D185" s="7">
        <v>19</v>
      </c>
      <c r="E185" s="7">
        <f>Ventas[[#This Row],[CANTIDAD]]*Ventas[[#This Row],[PRECIO_UNIT]]</f>
        <v>190</v>
      </c>
      <c r="F185" s="7">
        <f>Ventas[[#This Row],[SUBTOTAL]]*0.16</f>
        <v>30.400000000000002</v>
      </c>
      <c r="G185" s="7">
        <v>11.449999999999989</v>
      </c>
      <c r="H185" s="7">
        <f>Ventas[[#This Row],[SUBTOTAL]]+Ventas[[#This Row],[IVA]]+Ventas[[#This Row],[DESCUENTO/EXTRA]]</f>
        <v>231.85</v>
      </c>
      <c r="I185" t="s">
        <v>32</v>
      </c>
      <c r="J185" t="s">
        <v>29</v>
      </c>
      <c r="K185" t="s">
        <v>15</v>
      </c>
      <c r="L185" t="s">
        <v>16</v>
      </c>
    </row>
    <row r="186" spans="1:12">
      <c r="A186" s="3">
        <v>45116</v>
      </c>
      <c r="B186" t="s">
        <v>43</v>
      </c>
      <c r="C186" s="5">
        <v>22</v>
      </c>
      <c r="D186" s="7">
        <v>31</v>
      </c>
      <c r="E186" s="7">
        <f>Ventas[[#This Row],[CANTIDAD]]*Ventas[[#This Row],[PRECIO_UNIT]]</f>
        <v>682</v>
      </c>
      <c r="F186" s="7">
        <f>Ventas[[#This Row],[SUBTOTAL]]*0.16</f>
        <v>109.12</v>
      </c>
      <c r="G186" s="7">
        <v>-11.330000000000041</v>
      </c>
      <c r="H186" s="7">
        <f>Ventas[[#This Row],[SUBTOTAL]]+Ventas[[#This Row],[IVA]]+Ventas[[#This Row],[DESCUENTO/EXTRA]]</f>
        <v>779.79</v>
      </c>
      <c r="I186" t="s">
        <v>18</v>
      </c>
      <c r="J186" t="s">
        <v>48</v>
      </c>
      <c r="K186" t="s">
        <v>15</v>
      </c>
      <c r="L186" t="s">
        <v>16</v>
      </c>
    </row>
    <row r="187" spans="1:12">
      <c r="A187" s="3">
        <v>45117</v>
      </c>
      <c r="B187" t="s">
        <v>22</v>
      </c>
      <c r="C187" s="5">
        <v>9</v>
      </c>
      <c r="D187" s="7">
        <v>21.74</v>
      </c>
      <c r="E187" s="7">
        <f>Ventas[[#This Row],[CANTIDAD]]*Ventas[[#This Row],[PRECIO_UNIT]]</f>
        <v>195.66</v>
      </c>
      <c r="F187" s="7">
        <f>Ventas[[#This Row],[SUBTOTAL]]*0.16</f>
        <v>31.305600000000002</v>
      </c>
      <c r="G187" s="7">
        <v>-4.5600000000007412E-2</v>
      </c>
      <c r="H187" s="7">
        <f>Ventas[[#This Row],[SUBTOTAL]]+Ventas[[#This Row],[IVA]]+Ventas[[#This Row],[DESCUENTO/EXTRA]]</f>
        <v>226.92</v>
      </c>
      <c r="I187" t="s">
        <v>18</v>
      </c>
      <c r="J187" t="s">
        <v>49</v>
      </c>
      <c r="K187" t="s">
        <v>15</v>
      </c>
      <c r="L187" t="s">
        <v>16</v>
      </c>
    </row>
    <row r="188" spans="1:12">
      <c r="A188" s="3">
        <v>45118</v>
      </c>
      <c r="B188" t="s">
        <v>35</v>
      </c>
      <c r="C188" s="5">
        <v>12</v>
      </c>
      <c r="D188" s="7">
        <v>28.1</v>
      </c>
      <c r="E188" s="7">
        <f>Ventas[[#This Row],[CANTIDAD]]*Ventas[[#This Row],[PRECIO_UNIT]]</f>
        <v>337.20000000000005</v>
      </c>
      <c r="F188" s="7">
        <f>Ventas[[#This Row],[SUBTOTAL]]*0.16</f>
        <v>53.952000000000005</v>
      </c>
      <c r="G188" s="7">
        <v>-0.15200000000004366</v>
      </c>
      <c r="H188" s="7">
        <f>Ventas[[#This Row],[SUBTOTAL]]+Ventas[[#This Row],[IVA]]+Ventas[[#This Row],[DESCUENTO/EXTRA]]</f>
        <v>391</v>
      </c>
      <c r="I188" t="s">
        <v>41</v>
      </c>
      <c r="J188" t="s">
        <v>44</v>
      </c>
      <c r="K188" t="s">
        <v>15</v>
      </c>
      <c r="L188" t="s">
        <v>16</v>
      </c>
    </row>
    <row r="189" spans="1:12">
      <c r="A189" s="3">
        <v>45120</v>
      </c>
      <c r="B189" t="s">
        <v>26</v>
      </c>
      <c r="C189" s="5">
        <v>18</v>
      </c>
      <c r="D189" s="7">
        <v>41.82</v>
      </c>
      <c r="E189" s="7">
        <f>Ventas[[#This Row],[CANTIDAD]]*Ventas[[#This Row],[PRECIO_UNIT]]</f>
        <v>752.76</v>
      </c>
      <c r="F189" s="7">
        <f>Ventas[[#This Row],[SUBTOTAL]]*0.16</f>
        <v>120.44159999999999</v>
      </c>
      <c r="G189" s="7">
        <v>-1.1599999999930333E-2</v>
      </c>
      <c r="H189" s="7">
        <f>Ventas[[#This Row],[SUBTOTAL]]+Ventas[[#This Row],[IVA]]+Ventas[[#This Row],[DESCUENTO/EXTRA]]</f>
        <v>873.19</v>
      </c>
      <c r="I189" t="s">
        <v>32</v>
      </c>
      <c r="J189" t="s">
        <v>21</v>
      </c>
      <c r="K189" t="s">
        <v>15</v>
      </c>
      <c r="L189" t="s">
        <v>16</v>
      </c>
    </row>
    <row r="190" spans="1:12">
      <c r="A190" s="3">
        <v>45120</v>
      </c>
      <c r="B190" t="s">
        <v>45</v>
      </c>
      <c r="C190" s="5">
        <v>23</v>
      </c>
      <c r="D190" s="7">
        <v>50</v>
      </c>
      <c r="E190" s="7">
        <f>Ventas[[#This Row],[CANTIDAD]]*Ventas[[#This Row],[PRECIO_UNIT]]</f>
        <v>1150</v>
      </c>
      <c r="F190" s="7">
        <f>Ventas[[#This Row],[SUBTOTAL]]*0.16</f>
        <v>184</v>
      </c>
      <c r="G190" s="7">
        <v>-10</v>
      </c>
      <c r="H190" s="7">
        <f>Ventas[[#This Row],[SUBTOTAL]]+Ventas[[#This Row],[IVA]]+Ventas[[#This Row],[DESCUENTO/EXTRA]]</f>
        <v>1324</v>
      </c>
      <c r="I190" t="s">
        <v>23</v>
      </c>
      <c r="J190" t="s">
        <v>56</v>
      </c>
      <c r="K190" t="s">
        <v>15</v>
      </c>
      <c r="L190" t="s">
        <v>16</v>
      </c>
    </row>
    <row r="191" spans="1:12">
      <c r="A191" s="3">
        <v>45120</v>
      </c>
      <c r="B191" t="s">
        <v>28</v>
      </c>
      <c r="C191" s="5">
        <v>4</v>
      </c>
      <c r="D191" s="7">
        <v>84</v>
      </c>
      <c r="E191" s="7">
        <f>Ventas[[#This Row],[CANTIDAD]]*Ventas[[#This Row],[PRECIO_UNIT]]</f>
        <v>336</v>
      </c>
      <c r="F191" s="7">
        <f>Ventas[[#This Row],[SUBTOTAL]]*0.16</f>
        <v>53.76</v>
      </c>
      <c r="G191" s="7">
        <v>3.2699999999999818</v>
      </c>
      <c r="H191" s="7">
        <f>Ventas[[#This Row],[SUBTOTAL]]+Ventas[[#This Row],[IVA]]+Ventas[[#This Row],[DESCUENTO/EXTRA]]</f>
        <v>393.03</v>
      </c>
      <c r="I191" t="s">
        <v>13</v>
      </c>
      <c r="J191" t="s">
        <v>31</v>
      </c>
      <c r="K191" t="s">
        <v>25</v>
      </c>
      <c r="L191" t="s">
        <v>16</v>
      </c>
    </row>
    <row r="192" spans="1:12">
      <c r="A192" s="3">
        <v>45122</v>
      </c>
      <c r="B192" t="s">
        <v>40</v>
      </c>
      <c r="C192" s="5">
        <v>14</v>
      </c>
      <c r="D192" s="7">
        <v>33.96</v>
      </c>
      <c r="E192" s="7">
        <f>Ventas[[#This Row],[CANTIDAD]]*Ventas[[#This Row],[PRECIO_UNIT]]</f>
        <v>475.44</v>
      </c>
      <c r="F192" s="7">
        <f>Ventas[[#This Row],[SUBTOTAL]]*0.16</f>
        <v>76.070400000000006</v>
      </c>
      <c r="G192" s="7">
        <v>6.9600000000036744E-2</v>
      </c>
      <c r="H192" s="7">
        <f>Ventas[[#This Row],[SUBTOTAL]]+Ventas[[#This Row],[IVA]]+Ventas[[#This Row],[DESCUENTO/EXTRA]]</f>
        <v>551.58000000000004</v>
      </c>
      <c r="I192" t="s">
        <v>23</v>
      </c>
      <c r="J192" t="s">
        <v>14</v>
      </c>
      <c r="K192" t="s">
        <v>15</v>
      </c>
      <c r="L192" t="s">
        <v>16</v>
      </c>
    </row>
    <row r="193" spans="1:12">
      <c r="A193" s="3">
        <v>45124</v>
      </c>
      <c r="B193" t="s">
        <v>45</v>
      </c>
      <c r="C193" s="5">
        <v>24</v>
      </c>
      <c r="D193" s="7">
        <v>43.42</v>
      </c>
      <c r="E193" s="7">
        <f>Ventas[[#This Row],[CANTIDAD]]*Ventas[[#This Row],[PRECIO_UNIT]]</f>
        <v>1042.08</v>
      </c>
      <c r="F193" s="7">
        <f>Ventas[[#This Row],[SUBTOTAL]]*0.16</f>
        <v>166.7328</v>
      </c>
      <c r="G193" s="7">
        <v>-0.13279999999986103</v>
      </c>
      <c r="H193" s="7">
        <f>Ventas[[#This Row],[SUBTOTAL]]+Ventas[[#This Row],[IVA]]+Ventas[[#This Row],[DESCUENTO/EXTRA]]</f>
        <v>1208.68</v>
      </c>
      <c r="I193" t="s">
        <v>18</v>
      </c>
      <c r="J193" t="s">
        <v>55</v>
      </c>
      <c r="K193" t="s">
        <v>15</v>
      </c>
      <c r="L193" t="s">
        <v>16</v>
      </c>
    </row>
    <row r="194" spans="1:12">
      <c r="A194" s="3">
        <v>45125</v>
      </c>
      <c r="B194" t="s">
        <v>46</v>
      </c>
      <c r="C194" s="5">
        <v>19</v>
      </c>
      <c r="D194" s="7">
        <v>25</v>
      </c>
      <c r="E194" s="7">
        <f>Ventas[[#This Row],[CANTIDAD]]*Ventas[[#This Row],[PRECIO_UNIT]]</f>
        <v>475</v>
      </c>
      <c r="F194" s="7">
        <f>Ventas[[#This Row],[SUBTOTAL]]*0.16</f>
        <v>76</v>
      </c>
      <c r="G194" s="7">
        <v>20.919999999999959</v>
      </c>
      <c r="H194" s="7">
        <f>Ventas[[#This Row],[SUBTOTAL]]+Ventas[[#This Row],[IVA]]+Ventas[[#This Row],[DESCUENTO/EXTRA]]</f>
        <v>571.91999999999996</v>
      </c>
      <c r="I194" t="s">
        <v>23</v>
      </c>
      <c r="J194" t="s">
        <v>19</v>
      </c>
      <c r="K194" t="s">
        <v>15</v>
      </c>
      <c r="L194" t="s">
        <v>16</v>
      </c>
    </row>
    <row r="195" spans="1:12">
      <c r="A195" s="3">
        <v>45125</v>
      </c>
      <c r="B195" t="s">
        <v>12</v>
      </c>
      <c r="C195" s="5">
        <v>11</v>
      </c>
      <c r="D195" s="7">
        <v>53</v>
      </c>
      <c r="E195" s="7">
        <f>Ventas[[#This Row],[CANTIDAD]]*Ventas[[#This Row],[PRECIO_UNIT]]</f>
        <v>583</v>
      </c>
      <c r="F195" s="7">
        <f>Ventas[[#This Row],[SUBTOTAL]]*0.16</f>
        <v>93.28</v>
      </c>
      <c r="G195" s="7">
        <v>-4.3899999999999864</v>
      </c>
      <c r="H195" s="7">
        <f>Ventas[[#This Row],[SUBTOTAL]]+Ventas[[#This Row],[IVA]]+Ventas[[#This Row],[DESCUENTO/EXTRA]]</f>
        <v>671.89</v>
      </c>
      <c r="I195" t="s">
        <v>18</v>
      </c>
      <c r="J195" t="s">
        <v>48</v>
      </c>
      <c r="K195" t="s">
        <v>25</v>
      </c>
      <c r="L195" t="s">
        <v>16</v>
      </c>
    </row>
    <row r="196" spans="1:12">
      <c r="A196" s="3">
        <v>45126</v>
      </c>
      <c r="B196" t="s">
        <v>12</v>
      </c>
      <c r="C196" s="5">
        <v>24</v>
      </c>
      <c r="D196" s="7">
        <v>57.9</v>
      </c>
      <c r="E196" s="7">
        <f>Ventas[[#This Row],[CANTIDAD]]*Ventas[[#This Row],[PRECIO_UNIT]]</f>
        <v>1389.6</v>
      </c>
      <c r="F196" s="7">
        <f>Ventas[[#This Row],[SUBTOTAL]]*0.16</f>
        <v>222.33599999999998</v>
      </c>
      <c r="G196" s="7">
        <v>-6.6000000000030923E-2</v>
      </c>
      <c r="H196" s="7">
        <f>Ventas[[#This Row],[SUBTOTAL]]+Ventas[[#This Row],[IVA]]+Ventas[[#This Row],[DESCUENTO/EXTRA]]</f>
        <v>1611.87</v>
      </c>
      <c r="I196" t="s">
        <v>32</v>
      </c>
      <c r="J196" t="s">
        <v>52</v>
      </c>
      <c r="K196" t="s">
        <v>25</v>
      </c>
      <c r="L196" t="s">
        <v>16</v>
      </c>
    </row>
    <row r="197" spans="1:12">
      <c r="A197" s="3">
        <v>45128</v>
      </c>
      <c r="B197" t="s">
        <v>37</v>
      </c>
      <c r="C197" s="5">
        <v>2</v>
      </c>
      <c r="D197" s="7">
        <v>23.01</v>
      </c>
      <c r="E197" s="7">
        <f>Ventas[[#This Row],[CANTIDAD]]*Ventas[[#This Row],[PRECIO_UNIT]]</f>
        <v>46.02</v>
      </c>
      <c r="F197" s="7">
        <f>Ventas[[#This Row],[SUBTOTAL]]*0.16</f>
        <v>7.3632000000000009</v>
      </c>
      <c r="G197" s="7">
        <v>6.7999999999983629E-3</v>
      </c>
      <c r="H197" s="7">
        <f>Ventas[[#This Row],[SUBTOTAL]]+Ventas[[#This Row],[IVA]]+Ventas[[#This Row],[DESCUENTO/EXTRA]]</f>
        <v>53.39</v>
      </c>
      <c r="I197" t="s">
        <v>18</v>
      </c>
      <c r="J197" t="s">
        <v>24</v>
      </c>
      <c r="K197" t="s">
        <v>15</v>
      </c>
      <c r="L197" t="s">
        <v>16</v>
      </c>
    </row>
    <row r="198" spans="1:12">
      <c r="A198" s="3">
        <v>45129</v>
      </c>
      <c r="B198" t="s">
        <v>17</v>
      </c>
      <c r="C198" s="5">
        <v>27</v>
      </c>
      <c r="D198" s="7">
        <v>34.01</v>
      </c>
      <c r="E198" s="7">
        <f>Ventas[[#This Row],[CANTIDAD]]*Ventas[[#This Row],[PRECIO_UNIT]]</f>
        <v>918.27</v>
      </c>
      <c r="F198" s="7">
        <f>Ventas[[#This Row],[SUBTOTAL]]*0.16</f>
        <v>146.92320000000001</v>
      </c>
      <c r="G198" s="7">
        <v>-3.319999999985157E-2</v>
      </c>
      <c r="H198" s="7">
        <f>Ventas[[#This Row],[SUBTOTAL]]+Ventas[[#This Row],[IVA]]+Ventas[[#This Row],[DESCUENTO/EXTRA]]</f>
        <v>1065.1600000000001</v>
      </c>
      <c r="I198" t="s">
        <v>18</v>
      </c>
      <c r="J198" t="s">
        <v>50</v>
      </c>
      <c r="K198" t="s">
        <v>25</v>
      </c>
      <c r="L198" t="s">
        <v>16</v>
      </c>
    </row>
    <row r="199" spans="1:12">
      <c r="A199" s="3">
        <v>45130</v>
      </c>
      <c r="B199" t="s">
        <v>35</v>
      </c>
      <c r="C199" s="5">
        <v>10</v>
      </c>
      <c r="D199" s="7">
        <v>28</v>
      </c>
      <c r="E199" s="7">
        <f>Ventas[[#This Row],[CANTIDAD]]*Ventas[[#This Row],[PRECIO_UNIT]]</f>
        <v>280</v>
      </c>
      <c r="F199" s="7">
        <f>Ventas[[#This Row],[SUBTOTAL]]*0.16</f>
        <v>44.800000000000004</v>
      </c>
      <c r="G199" s="7">
        <v>-2.1200000000000045</v>
      </c>
      <c r="H199" s="7">
        <f>Ventas[[#This Row],[SUBTOTAL]]+Ventas[[#This Row],[IVA]]+Ventas[[#This Row],[DESCUENTO/EXTRA]]</f>
        <v>322.68</v>
      </c>
      <c r="I199" t="s">
        <v>18</v>
      </c>
      <c r="J199" t="s">
        <v>19</v>
      </c>
      <c r="K199" t="s">
        <v>15</v>
      </c>
      <c r="L199" t="s">
        <v>16</v>
      </c>
    </row>
    <row r="200" spans="1:12">
      <c r="A200" s="3">
        <v>45130</v>
      </c>
      <c r="B200" t="s">
        <v>43</v>
      </c>
      <c r="C200" s="5">
        <v>2</v>
      </c>
      <c r="D200" s="7">
        <v>28.98</v>
      </c>
      <c r="E200" s="7">
        <f>Ventas[[#This Row],[CANTIDAD]]*Ventas[[#This Row],[PRECIO_UNIT]]</f>
        <v>57.96</v>
      </c>
      <c r="F200" s="7">
        <f>Ventas[[#This Row],[SUBTOTAL]]*0.16</f>
        <v>9.2736000000000001</v>
      </c>
      <c r="G200" s="7">
        <v>-0.23359999999999559</v>
      </c>
      <c r="H200" s="7">
        <f>Ventas[[#This Row],[SUBTOTAL]]+Ventas[[#This Row],[IVA]]+Ventas[[#This Row],[DESCUENTO/EXTRA]]</f>
        <v>67</v>
      </c>
      <c r="I200" t="s">
        <v>23</v>
      </c>
      <c r="J200" t="s">
        <v>55</v>
      </c>
      <c r="K200" t="s">
        <v>15</v>
      </c>
      <c r="L200" t="s">
        <v>16</v>
      </c>
    </row>
    <row r="201" spans="1:12">
      <c r="A201" s="3">
        <v>45131</v>
      </c>
      <c r="B201" t="s">
        <v>26</v>
      </c>
      <c r="C201" s="5">
        <v>18</v>
      </c>
      <c r="D201" s="7">
        <v>41</v>
      </c>
      <c r="E201" s="7">
        <f>Ventas[[#This Row],[CANTIDAD]]*Ventas[[#This Row],[PRECIO_UNIT]]</f>
        <v>738</v>
      </c>
      <c r="F201" s="7">
        <f>Ventas[[#This Row],[SUBTOTAL]]*0.16</f>
        <v>118.08</v>
      </c>
      <c r="G201" s="7">
        <v>0.91999999999995907</v>
      </c>
      <c r="H201" s="7">
        <f>Ventas[[#This Row],[SUBTOTAL]]+Ventas[[#This Row],[IVA]]+Ventas[[#This Row],[DESCUENTO/EXTRA]]</f>
        <v>857</v>
      </c>
      <c r="I201" t="s">
        <v>13</v>
      </c>
      <c r="J201" t="s">
        <v>44</v>
      </c>
      <c r="K201" t="s">
        <v>15</v>
      </c>
      <c r="L201" t="s">
        <v>16</v>
      </c>
    </row>
    <row r="202" spans="1:12">
      <c r="A202" s="3">
        <v>45131</v>
      </c>
      <c r="B202" t="s">
        <v>26</v>
      </c>
      <c r="C202" s="5">
        <v>7</v>
      </c>
      <c r="D202" s="7">
        <v>38.36</v>
      </c>
      <c r="E202" s="7">
        <f>Ventas[[#This Row],[CANTIDAD]]*Ventas[[#This Row],[PRECIO_UNIT]]</f>
        <v>268.52</v>
      </c>
      <c r="F202" s="7">
        <f>Ventas[[#This Row],[SUBTOTAL]]*0.16</f>
        <v>42.963200000000001</v>
      </c>
      <c r="G202" s="7">
        <v>-3.3200000000022101E-2</v>
      </c>
      <c r="H202" s="7">
        <f>Ventas[[#This Row],[SUBTOTAL]]+Ventas[[#This Row],[IVA]]+Ventas[[#This Row],[DESCUENTO/EXTRA]]</f>
        <v>311.45</v>
      </c>
      <c r="I202" t="s">
        <v>23</v>
      </c>
      <c r="J202" t="s">
        <v>47</v>
      </c>
      <c r="K202" t="s">
        <v>15</v>
      </c>
      <c r="L202" t="s">
        <v>16</v>
      </c>
    </row>
    <row r="203" spans="1:12">
      <c r="A203" s="3">
        <v>45132</v>
      </c>
      <c r="B203" t="s">
        <v>43</v>
      </c>
      <c r="C203" s="5">
        <v>6</v>
      </c>
      <c r="D203" s="7">
        <v>29.68</v>
      </c>
      <c r="E203" s="7">
        <f>Ventas[[#This Row],[CANTIDAD]]*Ventas[[#This Row],[PRECIO_UNIT]]</f>
        <v>178.07999999999998</v>
      </c>
      <c r="F203" s="7">
        <f>Ventas[[#This Row],[SUBTOTAL]]*0.16</f>
        <v>28.492799999999999</v>
      </c>
      <c r="G203" s="7">
        <v>1.7200000000030968E-2</v>
      </c>
      <c r="H203" s="7">
        <f>Ventas[[#This Row],[SUBTOTAL]]+Ventas[[#This Row],[IVA]]+Ventas[[#This Row],[DESCUENTO/EXTRA]]</f>
        <v>206.59</v>
      </c>
      <c r="I203" t="s">
        <v>32</v>
      </c>
      <c r="J203" t="s">
        <v>55</v>
      </c>
      <c r="K203" t="s">
        <v>15</v>
      </c>
      <c r="L203" t="s">
        <v>16</v>
      </c>
    </row>
    <row r="204" spans="1:12">
      <c r="A204" s="3">
        <v>45135</v>
      </c>
      <c r="B204" t="s">
        <v>43</v>
      </c>
      <c r="C204" s="5">
        <v>14</v>
      </c>
      <c r="D204" s="7">
        <v>29.81</v>
      </c>
      <c r="E204" s="7">
        <f>Ventas[[#This Row],[CANTIDAD]]*Ventas[[#This Row],[PRECIO_UNIT]]</f>
        <v>417.34</v>
      </c>
      <c r="F204" s="7">
        <f>Ventas[[#This Row],[SUBTOTAL]]*0.16</f>
        <v>66.7744</v>
      </c>
      <c r="G204" s="7">
        <v>6.5600000000017644E-2</v>
      </c>
      <c r="H204" s="7">
        <f>Ventas[[#This Row],[SUBTOTAL]]+Ventas[[#This Row],[IVA]]+Ventas[[#This Row],[DESCUENTO/EXTRA]]</f>
        <v>484.18</v>
      </c>
      <c r="I204" t="s">
        <v>18</v>
      </c>
      <c r="J204" t="s">
        <v>49</v>
      </c>
      <c r="K204" t="s">
        <v>15</v>
      </c>
      <c r="L204" t="s">
        <v>16</v>
      </c>
    </row>
    <row r="205" spans="1:12">
      <c r="A205" s="3">
        <v>45136</v>
      </c>
      <c r="B205" t="s">
        <v>45</v>
      </c>
      <c r="C205" s="5">
        <v>22</v>
      </c>
      <c r="D205" s="7">
        <v>48.29</v>
      </c>
      <c r="E205" s="7">
        <f>Ventas[[#This Row],[CANTIDAD]]*Ventas[[#This Row],[PRECIO_UNIT]]</f>
        <v>1062.3799999999999</v>
      </c>
      <c r="F205" s="7">
        <f>Ventas[[#This Row],[SUBTOTAL]]*0.16</f>
        <v>169.98079999999999</v>
      </c>
      <c r="G205" s="7">
        <v>-3.0799999999999272E-2</v>
      </c>
      <c r="H205" s="7">
        <f>Ventas[[#This Row],[SUBTOTAL]]+Ventas[[#This Row],[IVA]]+Ventas[[#This Row],[DESCUENTO/EXTRA]]</f>
        <v>1232.33</v>
      </c>
      <c r="I205" t="s">
        <v>18</v>
      </c>
      <c r="J205" t="s">
        <v>56</v>
      </c>
      <c r="K205" t="s">
        <v>15</v>
      </c>
      <c r="L205" t="s">
        <v>16</v>
      </c>
    </row>
    <row r="206" spans="1:12">
      <c r="A206" s="3">
        <v>45136</v>
      </c>
      <c r="B206" t="s">
        <v>26</v>
      </c>
      <c r="C206" s="5">
        <v>16</v>
      </c>
      <c r="D206" s="7">
        <v>39</v>
      </c>
      <c r="E206" s="7">
        <f>Ventas[[#This Row],[CANTIDAD]]*Ventas[[#This Row],[PRECIO_UNIT]]</f>
        <v>624</v>
      </c>
      <c r="F206" s="7">
        <f>Ventas[[#This Row],[SUBTOTAL]]*0.16</f>
        <v>99.84</v>
      </c>
      <c r="G206" s="7">
        <v>1.1200000000000045</v>
      </c>
      <c r="H206" s="7">
        <f>Ventas[[#This Row],[SUBTOTAL]]+Ventas[[#This Row],[IVA]]+Ventas[[#This Row],[DESCUENTO/EXTRA]]</f>
        <v>724.96</v>
      </c>
      <c r="I206" t="s">
        <v>23</v>
      </c>
      <c r="J206" t="s">
        <v>24</v>
      </c>
      <c r="K206" t="s">
        <v>15</v>
      </c>
      <c r="L206" t="s">
        <v>16</v>
      </c>
    </row>
    <row r="207" spans="1:12">
      <c r="A207" s="3">
        <v>45137</v>
      </c>
      <c r="B207" t="s">
        <v>45</v>
      </c>
      <c r="C207" s="5">
        <v>2</v>
      </c>
      <c r="D207" s="7">
        <v>46</v>
      </c>
      <c r="E207" s="7">
        <f>Ventas[[#This Row],[CANTIDAD]]*Ventas[[#This Row],[PRECIO_UNIT]]</f>
        <v>92</v>
      </c>
      <c r="F207" s="7">
        <f>Ventas[[#This Row],[SUBTOTAL]]*0.16</f>
        <v>14.72</v>
      </c>
      <c r="G207" s="7">
        <v>-0.71999999999999886</v>
      </c>
      <c r="H207" s="7">
        <f>Ventas[[#This Row],[SUBTOTAL]]+Ventas[[#This Row],[IVA]]+Ventas[[#This Row],[DESCUENTO/EXTRA]]</f>
        <v>106</v>
      </c>
      <c r="I207" t="s">
        <v>18</v>
      </c>
      <c r="J207" t="s">
        <v>54</v>
      </c>
      <c r="K207" t="s">
        <v>15</v>
      </c>
      <c r="L207" t="s">
        <v>16</v>
      </c>
    </row>
    <row r="208" spans="1:12">
      <c r="A208" s="3">
        <v>45137</v>
      </c>
      <c r="B208" t="s">
        <v>22</v>
      </c>
      <c r="C208" s="5">
        <v>18</v>
      </c>
      <c r="D208" s="7">
        <v>20.62</v>
      </c>
      <c r="E208" s="7">
        <f>Ventas[[#This Row],[CANTIDAD]]*Ventas[[#This Row],[PRECIO_UNIT]]</f>
        <v>371.16</v>
      </c>
      <c r="F208" s="7">
        <f>Ventas[[#This Row],[SUBTOTAL]]*0.16</f>
        <v>59.385600000000004</v>
      </c>
      <c r="G208" s="7">
        <v>-7.5600000000008549E-2</v>
      </c>
      <c r="H208" s="7">
        <f>Ventas[[#This Row],[SUBTOTAL]]+Ventas[[#This Row],[IVA]]+Ventas[[#This Row],[DESCUENTO/EXTRA]]</f>
        <v>430.47</v>
      </c>
      <c r="I208" t="s">
        <v>32</v>
      </c>
      <c r="J208" t="s">
        <v>34</v>
      </c>
      <c r="K208" t="s">
        <v>15</v>
      </c>
      <c r="L208" t="s">
        <v>16</v>
      </c>
    </row>
    <row r="209" spans="1:12">
      <c r="A209" s="3">
        <v>45138</v>
      </c>
      <c r="B209" t="s">
        <v>43</v>
      </c>
      <c r="C209" s="5">
        <v>28</v>
      </c>
      <c r="D209" s="7">
        <v>30</v>
      </c>
      <c r="E209" s="7">
        <f>Ventas[[#This Row],[CANTIDAD]]*Ventas[[#This Row],[PRECIO_UNIT]]</f>
        <v>840</v>
      </c>
      <c r="F209" s="7">
        <f>Ventas[[#This Row],[SUBTOTAL]]*0.16</f>
        <v>134.4</v>
      </c>
      <c r="G209" s="7">
        <v>-6.1899999999999409</v>
      </c>
      <c r="H209" s="7">
        <f>Ventas[[#This Row],[SUBTOTAL]]+Ventas[[#This Row],[IVA]]+Ventas[[#This Row],[DESCUENTO/EXTRA]]</f>
        <v>968.21</v>
      </c>
      <c r="I209" t="s">
        <v>13</v>
      </c>
      <c r="J209" t="s">
        <v>47</v>
      </c>
      <c r="K209" t="s">
        <v>25</v>
      </c>
      <c r="L209" t="s">
        <v>16</v>
      </c>
    </row>
    <row r="210" spans="1:12">
      <c r="A210" s="3">
        <v>45139</v>
      </c>
      <c r="B210" t="s">
        <v>40</v>
      </c>
      <c r="C210" s="5">
        <v>12</v>
      </c>
      <c r="D210" s="7">
        <v>32</v>
      </c>
      <c r="E210" s="7">
        <f>Ventas[[#This Row],[CANTIDAD]]*Ventas[[#This Row],[PRECIO_UNIT]]</f>
        <v>384</v>
      </c>
      <c r="F210" s="7">
        <f>Ventas[[#This Row],[SUBTOTAL]]*0.16</f>
        <v>61.44</v>
      </c>
      <c r="G210" s="7">
        <v>3.3999999999999773</v>
      </c>
      <c r="H210" s="7">
        <f>Ventas[[#This Row],[SUBTOTAL]]+Ventas[[#This Row],[IVA]]+Ventas[[#This Row],[DESCUENTO/EXTRA]]</f>
        <v>448.84</v>
      </c>
      <c r="I210" t="s">
        <v>18</v>
      </c>
      <c r="J210" t="s">
        <v>50</v>
      </c>
      <c r="K210" t="s">
        <v>25</v>
      </c>
      <c r="L210" t="s">
        <v>16</v>
      </c>
    </row>
    <row r="211" spans="1:12">
      <c r="A211" s="3">
        <v>45140</v>
      </c>
      <c r="B211" t="s">
        <v>45</v>
      </c>
      <c r="C211" s="5">
        <v>26</v>
      </c>
      <c r="D211" s="7">
        <v>49</v>
      </c>
      <c r="E211" s="7">
        <f>Ventas[[#This Row],[CANTIDAD]]*Ventas[[#This Row],[PRECIO_UNIT]]</f>
        <v>1274</v>
      </c>
      <c r="F211" s="7">
        <f>Ventas[[#This Row],[SUBTOTAL]]*0.16</f>
        <v>203.84</v>
      </c>
      <c r="G211" s="7">
        <v>11.220000000000027</v>
      </c>
      <c r="H211" s="7">
        <f>Ventas[[#This Row],[SUBTOTAL]]+Ventas[[#This Row],[IVA]]+Ventas[[#This Row],[DESCUENTO/EXTRA]]</f>
        <v>1489.06</v>
      </c>
      <c r="I211" t="s">
        <v>13</v>
      </c>
      <c r="J211" t="s">
        <v>48</v>
      </c>
      <c r="K211" t="s">
        <v>15</v>
      </c>
      <c r="L211" t="s">
        <v>16</v>
      </c>
    </row>
    <row r="212" spans="1:12">
      <c r="A212" s="3">
        <v>45140</v>
      </c>
      <c r="B212" t="s">
        <v>22</v>
      </c>
      <c r="C212" s="5">
        <v>25</v>
      </c>
      <c r="D212" s="7">
        <v>21.93</v>
      </c>
      <c r="E212" s="7">
        <f>Ventas[[#This Row],[CANTIDAD]]*Ventas[[#This Row],[PRECIO_UNIT]]</f>
        <v>548.25</v>
      </c>
      <c r="F212" s="7">
        <f>Ventas[[#This Row],[SUBTOTAL]]*0.16</f>
        <v>87.72</v>
      </c>
      <c r="G212" s="7">
        <v>-0.97000000000002728</v>
      </c>
      <c r="H212" s="7">
        <f>Ventas[[#This Row],[SUBTOTAL]]+Ventas[[#This Row],[IVA]]+Ventas[[#This Row],[DESCUENTO/EXTRA]]</f>
        <v>635</v>
      </c>
      <c r="I212" t="s">
        <v>23</v>
      </c>
      <c r="J212" t="s">
        <v>42</v>
      </c>
      <c r="K212" t="s">
        <v>15</v>
      </c>
      <c r="L212" t="s">
        <v>16</v>
      </c>
    </row>
    <row r="213" spans="1:12">
      <c r="A213" s="3">
        <v>45141</v>
      </c>
      <c r="B213" t="s">
        <v>40</v>
      </c>
      <c r="C213" s="5">
        <v>28</v>
      </c>
      <c r="D213" s="7">
        <v>31.52</v>
      </c>
      <c r="E213" s="7">
        <f>Ventas[[#This Row],[CANTIDAD]]*Ventas[[#This Row],[PRECIO_UNIT]]</f>
        <v>882.56</v>
      </c>
      <c r="F213" s="7">
        <f>Ventas[[#This Row],[SUBTOTAL]]*0.16</f>
        <v>141.20959999999999</v>
      </c>
      <c r="G213" s="7">
        <v>6.0400000000072396E-2</v>
      </c>
      <c r="H213" s="7">
        <f>Ventas[[#This Row],[SUBTOTAL]]+Ventas[[#This Row],[IVA]]+Ventas[[#This Row],[DESCUENTO/EXTRA]]</f>
        <v>1023.83</v>
      </c>
      <c r="I213" t="s">
        <v>23</v>
      </c>
      <c r="J213" t="s">
        <v>36</v>
      </c>
      <c r="K213" t="s">
        <v>25</v>
      </c>
      <c r="L213" t="s">
        <v>16</v>
      </c>
    </row>
    <row r="214" spans="1:12">
      <c r="A214" s="3">
        <v>45144</v>
      </c>
      <c r="B214" t="s">
        <v>12</v>
      </c>
      <c r="C214" s="5">
        <v>3</v>
      </c>
      <c r="D214" s="7">
        <v>56</v>
      </c>
      <c r="E214" s="7">
        <f>Ventas[[#This Row],[CANTIDAD]]*Ventas[[#This Row],[PRECIO_UNIT]]</f>
        <v>168</v>
      </c>
      <c r="F214" s="7">
        <f>Ventas[[#This Row],[SUBTOTAL]]*0.16</f>
        <v>26.88</v>
      </c>
      <c r="G214" s="7">
        <v>2.8900000000000148</v>
      </c>
      <c r="H214" s="7">
        <f>Ventas[[#This Row],[SUBTOTAL]]+Ventas[[#This Row],[IVA]]+Ventas[[#This Row],[DESCUENTO/EXTRA]]</f>
        <v>197.77</v>
      </c>
      <c r="I214" t="s">
        <v>18</v>
      </c>
      <c r="J214" t="s">
        <v>34</v>
      </c>
      <c r="K214" t="s">
        <v>25</v>
      </c>
      <c r="L214" t="s">
        <v>16</v>
      </c>
    </row>
    <row r="215" spans="1:12">
      <c r="A215" s="3">
        <v>45145</v>
      </c>
      <c r="B215" t="s">
        <v>43</v>
      </c>
      <c r="C215" s="5">
        <v>5</v>
      </c>
      <c r="D215" s="7">
        <v>28.66</v>
      </c>
      <c r="E215" s="7">
        <f>Ventas[[#This Row],[CANTIDAD]]*Ventas[[#This Row],[PRECIO_UNIT]]</f>
        <v>143.30000000000001</v>
      </c>
      <c r="F215" s="7">
        <f>Ventas[[#This Row],[SUBTOTAL]]*0.16</f>
        <v>22.928000000000001</v>
      </c>
      <c r="G215" s="7">
        <v>-0.22800000000000864</v>
      </c>
      <c r="H215" s="7">
        <f>Ventas[[#This Row],[SUBTOTAL]]+Ventas[[#This Row],[IVA]]+Ventas[[#This Row],[DESCUENTO/EXTRA]]</f>
        <v>166</v>
      </c>
      <c r="I215" t="s">
        <v>18</v>
      </c>
      <c r="J215" t="s">
        <v>14</v>
      </c>
      <c r="K215" t="s">
        <v>25</v>
      </c>
      <c r="L215" t="s">
        <v>16</v>
      </c>
    </row>
    <row r="216" spans="1:12">
      <c r="A216" s="3">
        <v>45146</v>
      </c>
      <c r="B216" t="s">
        <v>35</v>
      </c>
      <c r="C216" s="5">
        <v>10</v>
      </c>
      <c r="D216" s="7">
        <v>27.37</v>
      </c>
      <c r="E216" s="7">
        <f>Ventas[[#This Row],[CANTIDAD]]*Ventas[[#This Row],[PRECIO_UNIT]]</f>
        <v>273.7</v>
      </c>
      <c r="F216" s="7">
        <f>Ventas[[#This Row],[SUBTOTAL]]*0.16</f>
        <v>43.792000000000002</v>
      </c>
      <c r="G216" s="7">
        <v>1.8000000000029104E-2</v>
      </c>
      <c r="H216" s="7">
        <f>Ventas[[#This Row],[SUBTOTAL]]+Ventas[[#This Row],[IVA]]+Ventas[[#This Row],[DESCUENTO/EXTRA]]</f>
        <v>317.51</v>
      </c>
      <c r="I216" t="s">
        <v>23</v>
      </c>
      <c r="J216" t="s">
        <v>19</v>
      </c>
      <c r="K216" t="s">
        <v>15</v>
      </c>
      <c r="L216" t="s">
        <v>16</v>
      </c>
    </row>
    <row r="217" spans="1:12">
      <c r="A217" s="3">
        <v>45148</v>
      </c>
      <c r="B217" t="s">
        <v>43</v>
      </c>
      <c r="C217" s="5">
        <v>4</v>
      </c>
      <c r="D217" s="7">
        <v>28.91</v>
      </c>
      <c r="E217" s="7">
        <f>Ventas[[#This Row],[CANTIDAD]]*Ventas[[#This Row],[PRECIO_UNIT]]</f>
        <v>115.64</v>
      </c>
      <c r="F217" s="7">
        <f>Ventas[[#This Row],[SUBTOTAL]]*0.16</f>
        <v>18.502400000000002</v>
      </c>
      <c r="G217" s="7">
        <v>-2.4000000000228283E-3</v>
      </c>
      <c r="H217" s="7">
        <f>Ventas[[#This Row],[SUBTOTAL]]+Ventas[[#This Row],[IVA]]+Ventas[[#This Row],[DESCUENTO/EXTRA]]</f>
        <v>134.13999999999999</v>
      </c>
      <c r="I217" t="s">
        <v>18</v>
      </c>
      <c r="J217" t="s">
        <v>52</v>
      </c>
      <c r="K217" t="s">
        <v>15</v>
      </c>
      <c r="L217" t="s">
        <v>16</v>
      </c>
    </row>
    <row r="218" spans="1:12">
      <c r="A218" s="3">
        <v>45149</v>
      </c>
      <c r="B218" t="s">
        <v>20</v>
      </c>
      <c r="C218" s="5">
        <v>24</v>
      </c>
      <c r="D218" s="7">
        <v>11</v>
      </c>
      <c r="E218" s="7">
        <f>Ventas[[#This Row],[CANTIDAD]]*Ventas[[#This Row],[PRECIO_UNIT]]</f>
        <v>264</v>
      </c>
      <c r="F218" s="7">
        <f>Ventas[[#This Row],[SUBTOTAL]]*0.16</f>
        <v>42.24</v>
      </c>
      <c r="G218" s="7">
        <v>8.7599999999999909</v>
      </c>
      <c r="H218" s="7">
        <f>Ventas[[#This Row],[SUBTOTAL]]+Ventas[[#This Row],[IVA]]+Ventas[[#This Row],[DESCUENTO/EXTRA]]</f>
        <v>315</v>
      </c>
      <c r="I218" t="s">
        <v>32</v>
      </c>
      <c r="J218" t="s">
        <v>42</v>
      </c>
      <c r="K218" t="s">
        <v>15</v>
      </c>
      <c r="L218" t="s">
        <v>16</v>
      </c>
    </row>
    <row r="219" spans="1:12">
      <c r="A219" s="3">
        <v>45149</v>
      </c>
      <c r="B219" t="s">
        <v>35</v>
      </c>
      <c r="C219" s="5">
        <v>29</v>
      </c>
      <c r="D219" s="7">
        <v>28</v>
      </c>
      <c r="E219" s="7">
        <f>Ventas[[#This Row],[CANTIDAD]]*Ventas[[#This Row],[PRECIO_UNIT]]</f>
        <v>812</v>
      </c>
      <c r="F219" s="7">
        <f>Ventas[[#This Row],[SUBTOTAL]]*0.16</f>
        <v>129.92000000000002</v>
      </c>
      <c r="G219" s="7">
        <v>-8.8000000000000682</v>
      </c>
      <c r="H219" s="7">
        <f>Ventas[[#This Row],[SUBTOTAL]]+Ventas[[#This Row],[IVA]]+Ventas[[#This Row],[DESCUENTO/EXTRA]]</f>
        <v>933.12</v>
      </c>
      <c r="I219" t="s">
        <v>23</v>
      </c>
      <c r="J219" t="s">
        <v>48</v>
      </c>
      <c r="K219" t="s">
        <v>15</v>
      </c>
      <c r="L219" t="s">
        <v>16</v>
      </c>
    </row>
    <row r="220" spans="1:12">
      <c r="A220" s="3">
        <v>45149</v>
      </c>
      <c r="B220" t="s">
        <v>37</v>
      </c>
      <c r="C220" s="5">
        <v>23</v>
      </c>
      <c r="D220" s="7">
        <v>23.51</v>
      </c>
      <c r="E220" s="7">
        <f>Ventas[[#This Row],[CANTIDAD]]*Ventas[[#This Row],[PRECIO_UNIT]]</f>
        <v>540.73</v>
      </c>
      <c r="F220" s="7">
        <f>Ventas[[#This Row],[SUBTOTAL]]*0.16</f>
        <v>86.516800000000003</v>
      </c>
      <c r="G220" s="7">
        <v>-0.24680000000000746</v>
      </c>
      <c r="H220" s="7">
        <f>Ventas[[#This Row],[SUBTOTAL]]+Ventas[[#This Row],[IVA]]+Ventas[[#This Row],[DESCUENTO/EXTRA]]</f>
        <v>627</v>
      </c>
      <c r="I220" t="s">
        <v>13</v>
      </c>
      <c r="J220" t="s">
        <v>27</v>
      </c>
      <c r="K220" t="s">
        <v>15</v>
      </c>
      <c r="L220" t="s">
        <v>16</v>
      </c>
    </row>
    <row r="221" spans="1:12">
      <c r="A221" s="3">
        <v>45149</v>
      </c>
      <c r="B221" t="s">
        <v>45</v>
      </c>
      <c r="C221" s="5">
        <v>25</v>
      </c>
      <c r="D221" s="7">
        <v>46</v>
      </c>
      <c r="E221" s="7">
        <f>Ventas[[#This Row],[CANTIDAD]]*Ventas[[#This Row],[PRECIO_UNIT]]</f>
        <v>1150</v>
      </c>
      <c r="F221" s="7">
        <f>Ventas[[#This Row],[SUBTOTAL]]*0.16</f>
        <v>184</v>
      </c>
      <c r="G221" s="7">
        <v>8.9100000000000819</v>
      </c>
      <c r="H221" s="7">
        <f>Ventas[[#This Row],[SUBTOTAL]]+Ventas[[#This Row],[IVA]]+Ventas[[#This Row],[DESCUENTO/EXTRA]]</f>
        <v>1342.91</v>
      </c>
      <c r="I221" t="s">
        <v>18</v>
      </c>
      <c r="J221" t="s">
        <v>24</v>
      </c>
      <c r="K221" t="s">
        <v>15</v>
      </c>
      <c r="L221" t="s">
        <v>16</v>
      </c>
    </row>
    <row r="222" spans="1:12">
      <c r="A222" s="3">
        <v>45150</v>
      </c>
      <c r="B222" t="s">
        <v>46</v>
      </c>
      <c r="C222" s="5">
        <v>9</v>
      </c>
      <c r="D222" s="7">
        <v>26</v>
      </c>
      <c r="E222" s="7">
        <f>Ventas[[#This Row],[CANTIDAD]]*Ventas[[#This Row],[PRECIO_UNIT]]</f>
        <v>234</v>
      </c>
      <c r="F222" s="7">
        <f>Ventas[[#This Row],[SUBTOTAL]]*0.16</f>
        <v>37.44</v>
      </c>
      <c r="G222" s="7">
        <v>-4.6499999999999773</v>
      </c>
      <c r="H222" s="7">
        <f>Ventas[[#This Row],[SUBTOTAL]]+Ventas[[#This Row],[IVA]]+Ventas[[#This Row],[DESCUENTO/EXTRA]]</f>
        <v>266.79000000000002</v>
      </c>
      <c r="I222" t="s">
        <v>23</v>
      </c>
      <c r="J222" t="s">
        <v>31</v>
      </c>
      <c r="K222" t="s">
        <v>15</v>
      </c>
      <c r="L222" t="s">
        <v>16</v>
      </c>
    </row>
    <row r="223" spans="1:12">
      <c r="A223" s="3">
        <v>45151</v>
      </c>
      <c r="B223" t="s">
        <v>20</v>
      </c>
      <c r="C223" s="5">
        <v>10</v>
      </c>
      <c r="D223" s="7">
        <v>11.89</v>
      </c>
      <c r="E223" s="7">
        <f>Ventas[[#This Row],[CANTIDAD]]*Ventas[[#This Row],[PRECIO_UNIT]]</f>
        <v>118.9</v>
      </c>
      <c r="F223" s="7">
        <f>Ventas[[#This Row],[SUBTOTAL]]*0.16</f>
        <v>19.024000000000001</v>
      </c>
      <c r="G223" s="7">
        <v>7.5999999999993406E-2</v>
      </c>
      <c r="H223" s="7">
        <f>Ventas[[#This Row],[SUBTOTAL]]+Ventas[[#This Row],[IVA]]+Ventas[[#This Row],[DESCUENTO/EXTRA]]</f>
        <v>138</v>
      </c>
      <c r="I223" t="s">
        <v>18</v>
      </c>
      <c r="J223" t="s">
        <v>33</v>
      </c>
      <c r="K223" t="s">
        <v>15</v>
      </c>
      <c r="L223" t="s">
        <v>16</v>
      </c>
    </row>
    <row r="224" spans="1:12">
      <c r="A224" s="3">
        <v>45152</v>
      </c>
      <c r="B224" t="s">
        <v>40</v>
      </c>
      <c r="C224" s="5">
        <v>4</v>
      </c>
      <c r="D224" s="7">
        <v>34.450000000000003</v>
      </c>
      <c r="E224" s="7">
        <f>Ventas[[#This Row],[CANTIDAD]]*Ventas[[#This Row],[PRECIO_UNIT]]</f>
        <v>137.80000000000001</v>
      </c>
      <c r="F224" s="7">
        <f>Ventas[[#This Row],[SUBTOTAL]]*0.16</f>
        <v>22.048000000000002</v>
      </c>
      <c r="G224" s="7">
        <v>1.2000000000000455E-2</v>
      </c>
      <c r="H224" s="7">
        <f>Ventas[[#This Row],[SUBTOTAL]]+Ventas[[#This Row],[IVA]]+Ventas[[#This Row],[DESCUENTO/EXTRA]]</f>
        <v>159.86000000000001</v>
      </c>
      <c r="I224" t="s">
        <v>18</v>
      </c>
      <c r="J224" t="s">
        <v>48</v>
      </c>
      <c r="K224" t="s">
        <v>25</v>
      </c>
      <c r="L224" t="s">
        <v>16</v>
      </c>
    </row>
    <row r="225" spans="1:12">
      <c r="A225" s="3">
        <v>45153</v>
      </c>
      <c r="B225" t="s">
        <v>46</v>
      </c>
      <c r="C225" s="5">
        <v>4</v>
      </c>
      <c r="D225" s="7">
        <v>25.67</v>
      </c>
      <c r="E225" s="7">
        <f>Ventas[[#This Row],[CANTIDAD]]*Ventas[[#This Row],[PRECIO_UNIT]]</f>
        <v>102.68</v>
      </c>
      <c r="F225" s="7">
        <f>Ventas[[#This Row],[SUBTOTAL]]*0.16</f>
        <v>16.428800000000003</v>
      </c>
      <c r="G225" s="7">
        <v>-8.8000000000079126E-3</v>
      </c>
      <c r="H225" s="7">
        <f>Ventas[[#This Row],[SUBTOTAL]]+Ventas[[#This Row],[IVA]]+Ventas[[#This Row],[DESCUENTO/EXTRA]]</f>
        <v>119.1</v>
      </c>
      <c r="I225" t="s">
        <v>18</v>
      </c>
      <c r="J225" t="s">
        <v>56</v>
      </c>
      <c r="K225" t="s">
        <v>25</v>
      </c>
      <c r="L225" t="s">
        <v>16</v>
      </c>
    </row>
    <row r="226" spans="1:12">
      <c r="A226" s="3">
        <v>45153</v>
      </c>
      <c r="B226" t="s">
        <v>35</v>
      </c>
      <c r="C226" s="5">
        <v>1</v>
      </c>
      <c r="D226" s="7">
        <v>26.24</v>
      </c>
      <c r="E226" s="7">
        <f>Ventas[[#This Row],[CANTIDAD]]*Ventas[[#This Row],[PRECIO_UNIT]]</f>
        <v>26.24</v>
      </c>
      <c r="F226" s="7">
        <f>Ventas[[#This Row],[SUBTOTAL]]*0.16</f>
        <v>4.1983999999999995</v>
      </c>
      <c r="G226" s="7">
        <v>1.6000000000033765E-3</v>
      </c>
      <c r="H226" s="7">
        <f>Ventas[[#This Row],[SUBTOTAL]]+Ventas[[#This Row],[IVA]]+Ventas[[#This Row],[DESCUENTO/EXTRA]]</f>
        <v>30.44</v>
      </c>
      <c r="I226" t="s">
        <v>23</v>
      </c>
      <c r="J226" t="s">
        <v>19</v>
      </c>
      <c r="K226" t="s">
        <v>15</v>
      </c>
      <c r="L226" t="s">
        <v>16</v>
      </c>
    </row>
    <row r="227" spans="1:12">
      <c r="A227" s="3">
        <v>45155</v>
      </c>
      <c r="B227" t="s">
        <v>35</v>
      </c>
      <c r="C227" s="5">
        <v>25</v>
      </c>
      <c r="D227" s="7">
        <v>26.31</v>
      </c>
      <c r="E227" s="7">
        <f>Ventas[[#This Row],[CANTIDAD]]*Ventas[[#This Row],[PRECIO_UNIT]]</f>
        <v>657.75</v>
      </c>
      <c r="F227" s="7">
        <f>Ventas[[#This Row],[SUBTOTAL]]*0.16</f>
        <v>105.24000000000001</v>
      </c>
      <c r="G227" s="7">
        <v>-9.9999999999909051E-3</v>
      </c>
      <c r="H227" s="7">
        <f>Ventas[[#This Row],[SUBTOTAL]]+Ventas[[#This Row],[IVA]]+Ventas[[#This Row],[DESCUENTO/EXTRA]]</f>
        <v>762.98</v>
      </c>
      <c r="I227" t="s">
        <v>18</v>
      </c>
      <c r="J227" t="s">
        <v>21</v>
      </c>
      <c r="K227" t="s">
        <v>15</v>
      </c>
      <c r="L227" t="s">
        <v>16</v>
      </c>
    </row>
    <row r="228" spans="1:12">
      <c r="A228" s="3">
        <v>45155</v>
      </c>
      <c r="B228" t="s">
        <v>20</v>
      </c>
      <c r="C228" s="5">
        <v>19</v>
      </c>
      <c r="D228" s="7">
        <v>11.94</v>
      </c>
      <c r="E228" s="7">
        <f>Ventas[[#This Row],[CANTIDAD]]*Ventas[[#This Row],[PRECIO_UNIT]]</f>
        <v>226.85999999999999</v>
      </c>
      <c r="F228" s="7">
        <f>Ventas[[#This Row],[SUBTOTAL]]*0.16</f>
        <v>36.297599999999996</v>
      </c>
      <c r="G228" s="7">
        <v>2.2400000000004638E-2</v>
      </c>
      <c r="H228" s="7">
        <f>Ventas[[#This Row],[SUBTOTAL]]+Ventas[[#This Row],[IVA]]+Ventas[[#This Row],[DESCUENTO/EXTRA]]</f>
        <v>263.18</v>
      </c>
      <c r="I228" t="s">
        <v>32</v>
      </c>
      <c r="J228" t="s">
        <v>34</v>
      </c>
      <c r="K228" t="s">
        <v>15</v>
      </c>
      <c r="L228" t="s">
        <v>16</v>
      </c>
    </row>
    <row r="229" spans="1:12">
      <c r="A229" s="3">
        <v>45156</v>
      </c>
      <c r="B229" t="s">
        <v>45</v>
      </c>
      <c r="C229" s="5">
        <v>20</v>
      </c>
      <c r="D229" s="7">
        <v>48.32</v>
      </c>
      <c r="E229" s="7">
        <f>Ventas[[#This Row],[CANTIDAD]]*Ventas[[#This Row],[PRECIO_UNIT]]</f>
        <v>966.4</v>
      </c>
      <c r="F229" s="7">
        <f>Ventas[[#This Row],[SUBTOTAL]]*0.16</f>
        <v>154.624</v>
      </c>
      <c r="G229" s="7">
        <v>2.6000000000067303E-2</v>
      </c>
      <c r="H229" s="7">
        <f>Ventas[[#This Row],[SUBTOTAL]]+Ventas[[#This Row],[IVA]]+Ventas[[#This Row],[DESCUENTO/EXTRA]]</f>
        <v>1121.05</v>
      </c>
      <c r="I229" t="s">
        <v>41</v>
      </c>
      <c r="J229" t="s">
        <v>53</v>
      </c>
      <c r="K229" t="s">
        <v>15</v>
      </c>
      <c r="L229" t="s">
        <v>16</v>
      </c>
    </row>
    <row r="230" spans="1:12">
      <c r="A230" s="3">
        <v>45160</v>
      </c>
      <c r="B230" t="s">
        <v>35</v>
      </c>
      <c r="C230" s="5">
        <v>20</v>
      </c>
      <c r="D230" s="7">
        <v>25.74</v>
      </c>
      <c r="E230" s="7">
        <f>Ventas[[#This Row],[CANTIDAD]]*Ventas[[#This Row],[PRECIO_UNIT]]</f>
        <v>514.79999999999995</v>
      </c>
      <c r="F230" s="7">
        <f>Ventas[[#This Row],[SUBTOTAL]]*0.16</f>
        <v>82.367999999999995</v>
      </c>
      <c r="G230" s="7">
        <v>2.0000000000663931E-3</v>
      </c>
      <c r="H230" s="7">
        <f>Ventas[[#This Row],[SUBTOTAL]]+Ventas[[#This Row],[IVA]]+Ventas[[#This Row],[DESCUENTO/EXTRA]]</f>
        <v>597.16999999999996</v>
      </c>
      <c r="I230" t="s">
        <v>23</v>
      </c>
      <c r="J230" t="s">
        <v>24</v>
      </c>
      <c r="K230" t="s">
        <v>15</v>
      </c>
      <c r="L230" t="s">
        <v>16</v>
      </c>
    </row>
    <row r="231" spans="1:12">
      <c r="A231" s="3">
        <v>45161</v>
      </c>
      <c r="B231" t="s">
        <v>35</v>
      </c>
      <c r="C231" s="5">
        <v>21</v>
      </c>
      <c r="D231" s="7">
        <v>25</v>
      </c>
      <c r="E231" s="7">
        <f>Ventas[[#This Row],[CANTIDAD]]*Ventas[[#This Row],[PRECIO_UNIT]]</f>
        <v>525</v>
      </c>
      <c r="F231" s="7">
        <f>Ventas[[#This Row],[SUBTOTAL]]*0.16</f>
        <v>84</v>
      </c>
      <c r="G231" s="7">
        <v>8.1000000000000227</v>
      </c>
      <c r="H231" s="7">
        <f>Ventas[[#This Row],[SUBTOTAL]]+Ventas[[#This Row],[IVA]]+Ventas[[#This Row],[DESCUENTO/EXTRA]]</f>
        <v>617.1</v>
      </c>
      <c r="I231" t="s">
        <v>18</v>
      </c>
      <c r="J231" t="s">
        <v>50</v>
      </c>
      <c r="K231" t="s">
        <v>15</v>
      </c>
      <c r="L231" t="s">
        <v>16</v>
      </c>
    </row>
    <row r="232" spans="1:12">
      <c r="A232" s="3">
        <v>45162</v>
      </c>
      <c r="B232" t="s">
        <v>46</v>
      </c>
      <c r="C232" s="5">
        <v>28</v>
      </c>
      <c r="D232" s="7">
        <v>25.56</v>
      </c>
      <c r="E232" s="7">
        <f>Ventas[[#This Row],[CANTIDAD]]*Ventas[[#This Row],[PRECIO_UNIT]]</f>
        <v>715.68</v>
      </c>
      <c r="F232" s="7">
        <f>Ventas[[#This Row],[SUBTOTAL]]*0.16</f>
        <v>114.50879999999999</v>
      </c>
      <c r="G232" s="7">
        <v>-0.18879999999990105</v>
      </c>
      <c r="H232" s="7">
        <f>Ventas[[#This Row],[SUBTOTAL]]+Ventas[[#This Row],[IVA]]+Ventas[[#This Row],[DESCUENTO/EXTRA]]</f>
        <v>830</v>
      </c>
      <c r="I232" t="s">
        <v>41</v>
      </c>
      <c r="J232" t="s">
        <v>38</v>
      </c>
      <c r="K232" t="s">
        <v>25</v>
      </c>
      <c r="L232" t="s">
        <v>16</v>
      </c>
    </row>
    <row r="233" spans="1:12">
      <c r="A233" s="3">
        <v>45164</v>
      </c>
      <c r="B233" t="s">
        <v>35</v>
      </c>
      <c r="C233" s="5">
        <v>24</v>
      </c>
      <c r="D233" s="7">
        <v>26</v>
      </c>
      <c r="E233" s="7">
        <f>Ventas[[#This Row],[CANTIDAD]]*Ventas[[#This Row],[PRECIO_UNIT]]</f>
        <v>624</v>
      </c>
      <c r="F233" s="7">
        <f>Ventas[[#This Row],[SUBTOTAL]]*0.16</f>
        <v>99.84</v>
      </c>
      <c r="G233" s="7">
        <v>-11.399999999999977</v>
      </c>
      <c r="H233" s="7">
        <f>Ventas[[#This Row],[SUBTOTAL]]+Ventas[[#This Row],[IVA]]+Ventas[[#This Row],[DESCUENTO/EXTRA]]</f>
        <v>712.44</v>
      </c>
      <c r="I233" t="s">
        <v>18</v>
      </c>
      <c r="J233" t="s">
        <v>44</v>
      </c>
      <c r="K233" t="s">
        <v>15</v>
      </c>
      <c r="L233" t="s">
        <v>16</v>
      </c>
    </row>
    <row r="234" spans="1:12">
      <c r="A234" s="3">
        <v>45164</v>
      </c>
      <c r="B234" t="s">
        <v>12</v>
      </c>
      <c r="C234" s="5">
        <v>17</v>
      </c>
      <c r="D234" s="7">
        <v>57</v>
      </c>
      <c r="E234" s="7">
        <f>Ventas[[#This Row],[CANTIDAD]]*Ventas[[#This Row],[PRECIO_UNIT]]</f>
        <v>969</v>
      </c>
      <c r="F234" s="7">
        <f>Ventas[[#This Row],[SUBTOTAL]]*0.16</f>
        <v>155.04</v>
      </c>
      <c r="G234" s="7">
        <v>-6.1900000000000546</v>
      </c>
      <c r="H234" s="7">
        <f>Ventas[[#This Row],[SUBTOTAL]]+Ventas[[#This Row],[IVA]]+Ventas[[#This Row],[DESCUENTO/EXTRA]]</f>
        <v>1117.8499999999999</v>
      </c>
      <c r="I234" t="s">
        <v>23</v>
      </c>
      <c r="J234" t="s">
        <v>24</v>
      </c>
      <c r="K234" t="s">
        <v>25</v>
      </c>
      <c r="L234" t="s">
        <v>16</v>
      </c>
    </row>
    <row r="235" spans="1:12">
      <c r="A235" s="3">
        <v>45165</v>
      </c>
      <c r="B235" t="s">
        <v>43</v>
      </c>
      <c r="C235" s="5">
        <v>28</v>
      </c>
      <c r="D235" s="7">
        <v>30</v>
      </c>
      <c r="E235" s="7">
        <f>Ventas[[#This Row],[CANTIDAD]]*Ventas[[#This Row],[PRECIO_UNIT]]</f>
        <v>840</v>
      </c>
      <c r="F235" s="7">
        <f>Ventas[[#This Row],[SUBTOTAL]]*0.16</f>
        <v>134.4</v>
      </c>
      <c r="G235" s="7">
        <v>-8.7699999999999818</v>
      </c>
      <c r="H235" s="7">
        <f>Ventas[[#This Row],[SUBTOTAL]]+Ventas[[#This Row],[IVA]]+Ventas[[#This Row],[DESCUENTO/EXTRA]]</f>
        <v>965.63</v>
      </c>
      <c r="I235" t="s">
        <v>41</v>
      </c>
      <c r="J235" t="s">
        <v>49</v>
      </c>
      <c r="K235" t="s">
        <v>15</v>
      </c>
      <c r="L235" t="s">
        <v>16</v>
      </c>
    </row>
    <row r="236" spans="1:12">
      <c r="A236" s="3">
        <v>45166</v>
      </c>
      <c r="B236" t="s">
        <v>45</v>
      </c>
      <c r="C236" s="5">
        <v>20</v>
      </c>
      <c r="D236" s="7">
        <v>44</v>
      </c>
      <c r="E236" s="7">
        <f>Ventas[[#This Row],[CANTIDAD]]*Ventas[[#This Row],[PRECIO_UNIT]]</f>
        <v>880</v>
      </c>
      <c r="F236" s="7">
        <f>Ventas[[#This Row],[SUBTOTAL]]*0.16</f>
        <v>140.80000000000001</v>
      </c>
      <c r="G236" s="7">
        <v>14.420000000000073</v>
      </c>
      <c r="H236" s="7">
        <f>Ventas[[#This Row],[SUBTOTAL]]+Ventas[[#This Row],[IVA]]+Ventas[[#This Row],[DESCUENTO/EXTRA]]</f>
        <v>1035.22</v>
      </c>
      <c r="I236" t="s">
        <v>18</v>
      </c>
      <c r="J236" t="s">
        <v>33</v>
      </c>
      <c r="K236" t="s">
        <v>25</v>
      </c>
      <c r="L236" t="s">
        <v>16</v>
      </c>
    </row>
    <row r="237" spans="1:12">
      <c r="A237" s="3">
        <v>45169</v>
      </c>
      <c r="B237" t="s">
        <v>45</v>
      </c>
      <c r="C237" s="5">
        <v>26</v>
      </c>
      <c r="D237" s="7">
        <v>44.83</v>
      </c>
      <c r="E237" s="7">
        <f>Ventas[[#This Row],[CANTIDAD]]*Ventas[[#This Row],[PRECIO_UNIT]]</f>
        <v>1165.58</v>
      </c>
      <c r="F237" s="7">
        <f>Ventas[[#This Row],[SUBTOTAL]]*0.16</f>
        <v>186.49279999999999</v>
      </c>
      <c r="G237" s="7">
        <v>-7.2799999999915599E-2</v>
      </c>
      <c r="H237" s="7">
        <f>Ventas[[#This Row],[SUBTOTAL]]+Ventas[[#This Row],[IVA]]+Ventas[[#This Row],[DESCUENTO/EXTRA]]</f>
        <v>1352</v>
      </c>
      <c r="I237" t="s">
        <v>23</v>
      </c>
      <c r="J237" t="s">
        <v>24</v>
      </c>
      <c r="K237" t="s">
        <v>15</v>
      </c>
      <c r="L237" t="s">
        <v>16</v>
      </c>
    </row>
    <row r="238" spans="1:12">
      <c r="A238" s="3">
        <v>45170</v>
      </c>
      <c r="B238" t="s">
        <v>26</v>
      </c>
      <c r="C238" s="5">
        <v>29</v>
      </c>
      <c r="D238" s="7">
        <v>41.39</v>
      </c>
      <c r="E238" s="7">
        <f>Ventas[[#This Row],[CANTIDAD]]*Ventas[[#This Row],[PRECIO_UNIT]]</f>
        <v>1200.31</v>
      </c>
      <c r="F238" s="7">
        <f>Ventas[[#This Row],[SUBTOTAL]]*0.16</f>
        <v>192.0496</v>
      </c>
      <c r="G238" s="7">
        <v>4.0400000000090586E-2</v>
      </c>
      <c r="H238" s="7">
        <f>Ventas[[#This Row],[SUBTOTAL]]+Ventas[[#This Row],[IVA]]+Ventas[[#This Row],[DESCUENTO/EXTRA]]</f>
        <v>1392.4</v>
      </c>
      <c r="I238" t="s">
        <v>18</v>
      </c>
      <c r="J238" t="s">
        <v>53</v>
      </c>
      <c r="K238" t="s">
        <v>25</v>
      </c>
      <c r="L238" t="s">
        <v>16</v>
      </c>
    </row>
    <row r="239" spans="1:12">
      <c r="A239" s="3">
        <v>45171</v>
      </c>
      <c r="B239" t="s">
        <v>12</v>
      </c>
      <c r="C239" s="5">
        <v>29</v>
      </c>
      <c r="D239" s="7">
        <v>59.46</v>
      </c>
      <c r="E239" s="7">
        <f>Ventas[[#This Row],[CANTIDAD]]*Ventas[[#This Row],[PRECIO_UNIT]]</f>
        <v>1724.34</v>
      </c>
      <c r="F239" s="7">
        <f>Ventas[[#This Row],[SUBTOTAL]]*0.16</f>
        <v>275.89440000000002</v>
      </c>
      <c r="G239" s="7">
        <v>-0.10439999999971405</v>
      </c>
      <c r="H239" s="7">
        <f>Ventas[[#This Row],[SUBTOTAL]]+Ventas[[#This Row],[IVA]]+Ventas[[#This Row],[DESCUENTO/EXTRA]]</f>
        <v>2000.13</v>
      </c>
      <c r="I239" t="s">
        <v>23</v>
      </c>
      <c r="J239" t="s">
        <v>44</v>
      </c>
      <c r="K239" t="s">
        <v>25</v>
      </c>
      <c r="L239" t="s">
        <v>16</v>
      </c>
    </row>
    <row r="240" spans="1:12">
      <c r="A240" s="3">
        <v>45172</v>
      </c>
      <c r="B240" t="s">
        <v>28</v>
      </c>
      <c r="C240" s="5">
        <v>15</v>
      </c>
      <c r="D240" s="7">
        <v>80</v>
      </c>
      <c r="E240" s="7">
        <f>Ventas[[#This Row],[CANTIDAD]]*Ventas[[#This Row],[PRECIO_UNIT]]</f>
        <v>1200</v>
      </c>
      <c r="F240" s="7">
        <f>Ventas[[#This Row],[SUBTOTAL]]*0.16</f>
        <v>192</v>
      </c>
      <c r="G240" s="7">
        <v>-2.6199999999998909</v>
      </c>
      <c r="H240" s="7">
        <f>Ventas[[#This Row],[SUBTOTAL]]+Ventas[[#This Row],[IVA]]+Ventas[[#This Row],[DESCUENTO/EXTRA]]</f>
        <v>1389.38</v>
      </c>
      <c r="I240" t="s">
        <v>23</v>
      </c>
      <c r="J240" t="s">
        <v>55</v>
      </c>
      <c r="K240" t="s">
        <v>15</v>
      </c>
      <c r="L240" t="s">
        <v>16</v>
      </c>
    </row>
    <row r="241" spans="1:12">
      <c r="A241" s="3">
        <v>45172</v>
      </c>
      <c r="B241" t="s">
        <v>26</v>
      </c>
      <c r="C241" s="5">
        <v>29</v>
      </c>
      <c r="D241" s="7">
        <v>38.78</v>
      </c>
      <c r="E241" s="7">
        <f>Ventas[[#This Row],[CANTIDAD]]*Ventas[[#This Row],[PRECIO_UNIT]]</f>
        <v>1124.6200000000001</v>
      </c>
      <c r="F241" s="7">
        <f>Ventas[[#This Row],[SUBTOTAL]]*0.16</f>
        <v>179.93920000000003</v>
      </c>
      <c r="G241" s="7">
        <v>-0.55920000000014625</v>
      </c>
      <c r="H241" s="7">
        <f>Ventas[[#This Row],[SUBTOTAL]]+Ventas[[#This Row],[IVA]]+Ventas[[#This Row],[DESCUENTO/EXTRA]]</f>
        <v>1304</v>
      </c>
      <c r="I241" t="s">
        <v>32</v>
      </c>
      <c r="J241" t="s">
        <v>29</v>
      </c>
      <c r="K241" t="s">
        <v>15</v>
      </c>
      <c r="L241" t="s">
        <v>16</v>
      </c>
    </row>
    <row r="242" spans="1:12">
      <c r="A242" s="3">
        <v>45173</v>
      </c>
      <c r="B242" t="s">
        <v>45</v>
      </c>
      <c r="C242" s="5">
        <v>11</v>
      </c>
      <c r="D242" s="7">
        <v>44.21</v>
      </c>
      <c r="E242" s="7">
        <f>Ventas[[#This Row],[CANTIDAD]]*Ventas[[#This Row],[PRECIO_UNIT]]</f>
        <v>486.31</v>
      </c>
      <c r="F242" s="7">
        <f>Ventas[[#This Row],[SUBTOTAL]]*0.16</f>
        <v>77.809600000000003</v>
      </c>
      <c r="G242" s="7">
        <v>-0.11959999999999127</v>
      </c>
      <c r="H242" s="7">
        <f>Ventas[[#This Row],[SUBTOTAL]]+Ventas[[#This Row],[IVA]]+Ventas[[#This Row],[DESCUENTO/EXTRA]]</f>
        <v>564</v>
      </c>
      <c r="I242" t="s">
        <v>41</v>
      </c>
      <c r="J242" t="s">
        <v>49</v>
      </c>
      <c r="K242" t="s">
        <v>15</v>
      </c>
      <c r="L242" t="s">
        <v>16</v>
      </c>
    </row>
    <row r="243" spans="1:12">
      <c r="A243" s="3">
        <v>45176</v>
      </c>
      <c r="B243" t="s">
        <v>45</v>
      </c>
      <c r="C243" s="5">
        <v>13</v>
      </c>
      <c r="D243" s="7">
        <v>50</v>
      </c>
      <c r="E243" s="7">
        <f>Ventas[[#This Row],[CANTIDAD]]*Ventas[[#This Row],[PRECIO_UNIT]]</f>
        <v>650</v>
      </c>
      <c r="F243" s="7">
        <f>Ventas[[#This Row],[SUBTOTAL]]*0.16</f>
        <v>104</v>
      </c>
      <c r="G243" s="7">
        <v>-1.4700000000000273</v>
      </c>
      <c r="H243" s="7">
        <f>Ventas[[#This Row],[SUBTOTAL]]+Ventas[[#This Row],[IVA]]+Ventas[[#This Row],[DESCUENTO/EXTRA]]</f>
        <v>752.53</v>
      </c>
      <c r="I243" t="s">
        <v>18</v>
      </c>
      <c r="J243" t="s">
        <v>31</v>
      </c>
      <c r="K243" t="s">
        <v>25</v>
      </c>
      <c r="L243" t="s">
        <v>16</v>
      </c>
    </row>
    <row r="244" spans="1:12">
      <c r="A244" s="3">
        <v>45179</v>
      </c>
      <c r="B244" t="s">
        <v>20</v>
      </c>
      <c r="C244" s="5">
        <v>17</v>
      </c>
      <c r="D244" s="7">
        <v>12</v>
      </c>
      <c r="E244" s="7">
        <f>Ventas[[#This Row],[CANTIDAD]]*Ventas[[#This Row],[PRECIO_UNIT]]</f>
        <v>204</v>
      </c>
      <c r="F244" s="7">
        <f>Ventas[[#This Row],[SUBTOTAL]]*0.16</f>
        <v>32.64</v>
      </c>
      <c r="G244" s="7">
        <v>5.4300000000000068</v>
      </c>
      <c r="H244" s="7">
        <f>Ventas[[#This Row],[SUBTOTAL]]+Ventas[[#This Row],[IVA]]+Ventas[[#This Row],[DESCUENTO/EXTRA]]</f>
        <v>242.07</v>
      </c>
      <c r="I244" t="s">
        <v>23</v>
      </c>
      <c r="J244" t="s">
        <v>19</v>
      </c>
      <c r="K244" t="s">
        <v>25</v>
      </c>
      <c r="L244" t="s">
        <v>16</v>
      </c>
    </row>
    <row r="245" spans="1:12">
      <c r="A245" s="3">
        <v>45182</v>
      </c>
      <c r="B245" t="s">
        <v>20</v>
      </c>
      <c r="C245" s="5">
        <v>8</v>
      </c>
      <c r="D245" s="7">
        <v>11.35</v>
      </c>
      <c r="E245" s="7">
        <f>Ventas[[#This Row],[CANTIDAD]]*Ventas[[#This Row],[PRECIO_UNIT]]</f>
        <v>90.8</v>
      </c>
      <c r="F245" s="7">
        <f>Ventas[[#This Row],[SUBTOTAL]]*0.16</f>
        <v>14.528</v>
      </c>
      <c r="G245" s="7">
        <v>3.1999999999996476E-2</v>
      </c>
      <c r="H245" s="7">
        <f>Ventas[[#This Row],[SUBTOTAL]]+Ventas[[#This Row],[IVA]]+Ventas[[#This Row],[DESCUENTO/EXTRA]]</f>
        <v>105.36</v>
      </c>
      <c r="I245" t="s">
        <v>32</v>
      </c>
      <c r="J245" t="s">
        <v>31</v>
      </c>
      <c r="K245" t="s">
        <v>25</v>
      </c>
      <c r="L245" t="s">
        <v>16</v>
      </c>
    </row>
    <row r="246" spans="1:12">
      <c r="A246" s="3">
        <v>45182</v>
      </c>
      <c r="B246" t="s">
        <v>26</v>
      </c>
      <c r="C246" s="5">
        <v>24</v>
      </c>
      <c r="D246" s="7">
        <v>41.76</v>
      </c>
      <c r="E246" s="7">
        <f>Ventas[[#This Row],[CANTIDAD]]*Ventas[[#This Row],[PRECIO_UNIT]]</f>
        <v>1002.24</v>
      </c>
      <c r="F246" s="7">
        <f>Ventas[[#This Row],[SUBTOTAL]]*0.16</f>
        <v>160.35840000000002</v>
      </c>
      <c r="G246" s="7">
        <v>-8.8400000000092405E-2</v>
      </c>
      <c r="H246" s="7">
        <f>Ventas[[#This Row],[SUBTOTAL]]+Ventas[[#This Row],[IVA]]+Ventas[[#This Row],[DESCUENTO/EXTRA]]</f>
        <v>1162.51</v>
      </c>
      <c r="I246" t="s">
        <v>32</v>
      </c>
      <c r="J246" t="s">
        <v>14</v>
      </c>
      <c r="K246" t="s">
        <v>15</v>
      </c>
      <c r="L246" t="s">
        <v>16</v>
      </c>
    </row>
    <row r="247" spans="1:12">
      <c r="A247" s="3">
        <v>45184</v>
      </c>
      <c r="B247" t="s">
        <v>43</v>
      </c>
      <c r="C247" s="5">
        <v>1</v>
      </c>
      <c r="D247" s="7">
        <v>27.55</v>
      </c>
      <c r="E247" s="7">
        <f>Ventas[[#This Row],[CANTIDAD]]*Ventas[[#This Row],[PRECIO_UNIT]]</f>
        <v>27.55</v>
      </c>
      <c r="F247" s="7">
        <f>Ventas[[#This Row],[SUBTOTAL]]*0.16</f>
        <v>4.4080000000000004</v>
      </c>
      <c r="G247" s="7">
        <v>4.1999999999998039E-2</v>
      </c>
      <c r="H247" s="7">
        <f>Ventas[[#This Row],[SUBTOTAL]]+Ventas[[#This Row],[IVA]]+Ventas[[#This Row],[DESCUENTO/EXTRA]]</f>
        <v>32</v>
      </c>
      <c r="I247" t="s">
        <v>18</v>
      </c>
      <c r="J247" t="s">
        <v>33</v>
      </c>
      <c r="K247" t="s">
        <v>25</v>
      </c>
      <c r="L247" t="s">
        <v>16</v>
      </c>
    </row>
    <row r="248" spans="1:12">
      <c r="A248" s="3">
        <v>45185</v>
      </c>
      <c r="B248" t="s">
        <v>17</v>
      </c>
      <c r="C248" s="5">
        <v>27</v>
      </c>
      <c r="D248" s="7">
        <v>35.83</v>
      </c>
      <c r="E248" s="7">
        <f>Ventas[[#This Row],[CANTIDAD]]*Ventas[[#This Row],[PRECIO_UNIT]]</f>
        <v>967.41</v>
      </c>
      <c r="F248" s="7">
        <f>Ventas[[#This Row],[SUBTOTAL]]*0.16</f>
        <v>154.78559999999999</v>
      </c>
      <c r="G248" s="7">
        <v>-0.12560000000007676</v>
      </c>
      <c r="H248" s="7">
        <f>Ventas[[#This Row],[SUBTOTAL]]+Ventas[[#This Row],[IVA]]+Ventas[[#This Row],[DESCUENTO/EXTRA]]</f>
        <v>1122.07</v>
      </c>
      <c r="I248" t="s">
        <v>18</v>
      </c>
      <c r="J248" t="s">
        <v>56</v>
      </c>
      <c r="K248" t="s">
        <v>15</v>
      </c>
      <c r="L248" t="s">
        <v>16</v>
      </c>
    </row>
    <row r="249" spans="1:12">
      <c r="A249" s="3">
        <v>45188</v>
      </c>
      <c r="B249" t="s">
        <v>17</v>
      </c>
      <c r="C249" s="5">
        <v>29</v>
      </c>
      <c r="D249" s="7">
        <v>33.32</v>
      </c>
      <c r="E249" s="7">
        <f>Ventas[[#This Row],[CANTIDAD]]*Ventas[[#This Row],[PRECIO_UNIT]]</f>
        <v>966.28</v>
      </c>
      <c r="F249" s="7">
        <f>Ventas[[#This Row],[SUBTOTAL]]*0.16</f>
        <v>154.60480000000001</v>
      </c>
      <c r="G249" s="7">
        <v>-0.16480000000001382</v>
      </c>
      <c r="H249" s="7">
        <f>Ventas[[#This Row],[SUBTOTAL]]+Ventas[[#This Row],[IVA]]+Ventas[[#This Row],[DESCUENTO/EXTRA]]</f>
        <v>1120.72</v>
      </c>
      <c r="I249" t="s">
        <v>18</v>
      </c>
      <c r="J249" t="s">
        <v>49</v>
      </c>
      <c r="K249" t="s">
        <v>25</v>
      </c>
      <c r="L249" t="s">
        <v>16</v>
      </c>
    </row>
    <row r="250" spans="1:12">
      <c r="A250" s="3">
        <v>45189</v>
      </c>
      <c r="B250" t="s">
        <v>28</v>
      </c>
      <c r="C250" s="5">
        <v>9</v>
      </c>
      <c r="D250" s="7">
        <v>80</v>
      </c>
      <c r="E250" s="7">
        <f>Ventas[[#This Row],[CANTIDAD]]*Ventas[[#This Row],[PRECIO_UNIT]]</f>
        <v>720</v>
      </c>
      <c r="F250" s="7">
        <f>Ventas[[#This Row],[SUBTOTAL]]*0.16</f>
        <v>115.2</v>
      </c>
      <c r="G250" s="7">
        <v>9.0199999999999818</v>
      </c>
      <c r="H250" s="7">
        <f>Ventas[[#This Row],[SUBTOTAL]]+Ventas[[#This Row],[IVA]]+Ventas[[#This Row],[DESCUENTO/EXTRA]]</f>
        <v>844.22</v>
      </c>
      <c r="I250" t="s">
        <v>23</v>
      </c>
      <c r="J250" t="s">
        <v>38</v>
      </c>
      <c r="K250" t="s">
        <v>15</v>
      </c>
      <c r="L250" t="s">
        <v>16</v>
      </c>
    </row>
    <row r="251" spans="1:12">
      <c r="A251" s="3">
        <v>45190</v>
      </c>
      <c r="B251" t="s">
        <v>35</v>
      </c>
      <c r="C251" s="5">
        <v>20</v>
      </c>
      <c r="D251" s="7">
        <v>25</v>
      </c>
      <c r="E251" s="7">
        <f>Ventas[[#This Row],[CANTIDAD]]*Ventas[[#This Row],[PRECIO_UNIT]]</f>
        <v>500</v>
      </c>
      <c r="F251" s="7">
        <f>Ventas[[#This Row],[SUBTOTAL]]*0.16</f>
        <v>80</v>
      </c>
      <c r="G251" s="7">
        <v>11.889999999999986</v>
      </c>
      <c r="H251" s="7">
        <f>Ventas[[#This Row],[SUBTOTAL]]+Ventas[[#This Row],[IVA]]+Ventas[[#This Row],[DESCUENTO/EXTRA]]</f>
        <v>591.89</v>
      </c>
      <c r="I251" t="s">
        <v>18</v>
      </c>
      <c r="J251" t="s">
        <v>27</v>
      </c>
      <c r="K251" t="s">
        <v>15</v>
      </c>
      <c r="L251" t="s">
        <v>16</v>
      </c>
    </row>
    <row r="252" spans="1:12">
      <c r="A252" s="3">
        <v>45192</v>
      </c>
      <c r="B252" t="s">
        <v>45</v>
      </c>
      <c r="C252" s="5">
        <v>25</v>
      </c>
      <c r="D252" s="7">
        <v>47.37</v>
      </c>
      <c r="E252" s="7">
        <f>Ventas[[#This Row],[CANTIDAD]]*Ventas[[#This Row],[PRECIO_UNIT]]</f>
        <v>1184.25</v>
      </c>
      <c r="F252" s="7">
        <f>Ventas[[#This Row],[SUBTOTAL]]*0.16</f>
        <v>189.48</v>
      </c>
      <c r="G252" s="7">
        <v>0</v>
      </c>
      <c r="H252" s="7">
        <f>Ventas[[#This Row],[SUBTOTAL]]+Ventas[[#This Row],[IVA]]+Ventas[[#This Row],[DESCUENTO/EXTRA]]</f>
        <v>1373.73</v>
      </c>
      <c r="I252" t="s">
        <v>18</v>
      </c>
      <c r="J252" t="s">
        <v>39</v>
      </c>
      <c r="K252" t="s">
        <v>25</v>
      </c>
      <c r="L252" t="s">
        <v>16</v>
      </c>
    </row>
    <row r="253" spans="1:12">
      <c r="A253" s="3">
        <v>45193</v>
      </c>
      <c r="B253" t="s">
        <v>12</v>
      </c>
      <c r="C253" s="5">
        <v>17</v>
      </c>
      <c r="D253" s="7">
        <v>58.71</v>
      </c>
      <c r="E253" s="7">
        <f>Ventas[[#This Row],[CANTIDAD]]*Ventas[[#This Row],[PRECIO_UNIT]]</f>
        <v>998.07</v>
      </c>
      <c r="F253" s="7">
        <f>Ventas[[#This Row],[SUBTOTAL]]*0.16</f>
        <v>159.69120000000001</v>
      </c>
      <c r="G253" s="7">
        <v>-0.10120000000006257</v>
      </c>
      <c r="H253" s="7">
        <f>Ventas[[#This Row],[SUBTOTAL]]+Ventas[[#This Row],[IVA]]+Ventas[[#This Row],[DESCUENTO/EXTRA]]</f>
        <v>1157.6600000000001</v>
      </c>
      <c r="I253" t="s">
        <v>32</v>
      </c>
      <c r="J253" t="s">
        <v>21</v>
      </c>
      <c r="K253" t="s">
        <v>25</v>
      </c>
      <c r="L253" t="s">
        <v>16</v>
      </c>
    </row>
    <row r="254" spans="1:12">
      <c r="A254" s="3">
        <v>45193</v>
      </c>
      <c r="B254" t="s">
        <v>43</v>
      </c>
      <c r="C254" s="5">
        <v>25</v>
      </c>
      <c r="D254" s="7">
        <v>30.12</v>
      </c>
      <c r="E254" s="7">
        <f>Ventas[[#This Row],[CANTIDAD]]*Ventas[[#This Row],[PRECIO_UNIT]]</f>
        <v>753</v>
      </c>
      <c r="F254" s="7">
        <f>Ventas[[#This Row],[SUBTOTAL]]*0.16</f>
        <v>120.48</v>
      </c>
      <c r="G254" s="7">
        <v>-0.48000000000001819</v>
      </c>
      <c r="H254" s="7">
        <f>Ventas[[#This Row],[SUBTOTAL]]+Ventas[[#This Row],[IVA]]+Ventas[[#This Row],[DESCUENTO/EXTRA]]</f>
        <v>873</v>
      </c>
      <c r="I254" t="s">
        <v>18</v>
      </c>
      <c r="J254" t="s">
        <v>49</v>
      </c>
      <c r="K254" t="s">
        <v>15</v>
      </c>
      <c r="L254" t="s">
        <v>16</v>
      </c>
    </row>
    <row r="255" spans="1:12">
      <c r="A255" s="3">
        <v>45194</v>
      </c>
      <c r="B255" t="s">
        <v>12</v>
      </c>
      <c r="C255" s="5">
        <v>20</v>
      </c>
      <c r="D255" s="7">
        <v>60</v>
      </c>
      <c r="E255" s="7">
        <f>Ventas[[#This Row],[CANTIDAD]]*Ventas[[#This Row],[PRECIO_UNIT]]</f>
        <v>1200</v>
      </c>
      <c r="F255" s="7">
        <f>Ventas[[#This Row],[SUBTOTAL]]*0.16</f>
        <v>192</v>
      </c>
      <c r="G255" s="7">
        <v>-6.6099999999999</v>
      </c>
      <c r="H255" s="7">
        <f>Ventas[[#This Row],[SUBTOTAL]]+Ventas[[#This Row],[IVA]]+Ventas[[#This Row],[DESCUENTO/EXTRA]]</f>
        <v>1385.39</v>
      </c>
      <c r="I255" t="s">
        <v>23</v>
      </c>
      <c r="J255" t="s">
        <v>47</v>
      </c>
      <c r="K255" t="s">
        <v>25</v>
      </c>
      <c r="L255" t="s">
        <v>16</v>
      </c>
    </row>
    <row r="256" spans="1:12">
      <c r="A256" s="3">
        <v>45195</v>
      </c>
      <c r="B256" t="s">
        <v>40</v>
      </c>
      <c r="C256" s="5">
        <v>4</v>
      </c>
      <c r="D256" s="7">
        <v>32.58</v>
      </c>
      <c r="E256" s="7">
        <f>Ventas[[#This Row],[CANTIDAD]]*Ventas[[#This Row],[PRECIO_UNIT]]</f>
        <v>130.32</v>
      </c>
      <c r="F256" s="7">
        <f>Ventas[[#This Row],[SUBTOTAL]]*0.16</f>
        <v>20.851199999999999</v>
      </c>
      <c r="G256" s="7">
        <v>-1.2000000000114142E-3</v>
      </c>
      <c r="H256" s="7">
        <f>Ventas[[#This Row],[SUBTOTAL]]+Ventas[[#This Row],[IVA]]+Ventas[[#This Row],[DESCUENTO/EXTRA]]</f>
        <v>151.16999999999999</v>
      </c>
      <c r="I256" t="s">
        <v>18</v>
      </c>
      <c r="J256" t="s">
        <v>51</v>
      </c>
      <c r="K256" t="s">
        <v>15</v>
      </c>
      <c r="L256" t="s">
        <v>16</v>
      </c>
    </row>
    <row r="257" spans="1:12">
      <c r="A257" s="3">
        <v>45195</v>
      </c>
      <c r="B257" t="s">
        <v>28</v>
      </c>
      <c r="C257" s="5">
        <v>7</v>
      </c>
      <c r="D257" s="7">
        <v>83.69</v>
      </c>
      <c r="E257" s="7">
        <f>Ventas[[#This Row],[CANTIDAD]]*Ventas[[#This Row],[PRECIO_UNIT]]</f>
        <v>585.82999999999993</v>
      </c>
      <c r="F257" s="7">
        <f>Ventas[[#This Row],[SUBTOTAL]]*0.16</f>
        <v>93.732799999999983</v>
      </c>
      <c r="G257" s="7">
        <v>0.43720000000007531</v>
      </c>
      <c r="H257" s="7">
        <f>Ventas[[#This Row],[SUBTOTAL]]+Ventas[[#This Row],[IVA]]+Ventas[[#This Row],[DESCUENTO/EXTRA]]</f>
        <v>680</v>
      </c>
      <c r="I257" t="s">
        <v>41</v>
      </c>
      <c r="J257" t="s">
        <v>54</v>
      </c>
      <c r="K257" t="s">
        <v>25</v>
      </c>
      <c r="L257" t="s">
        <v>16</v>
      </c>
    </row>
    <row r="258" spans="1:12">
      <c r="A258" s="3">
        <v>45198</v>
      </c>
      <c r="B258" t="s">
        <v>20</v>
      </c>
      <c r="C258" s="5">
        <v>2</v>
      </c>
      <c r="D258" s="7">
        <v>12.32</v>
      </c>
      <c r="E258" s="7">
        <f>Ventas[[#This Row],[CANTIDAD]]*Ventas[[#This Row],[PRECIO_UNIT]]</f>
        <v>24.64</v>
      </c>
      <c r="F258" s="7">
        <f>Ventas[[#This Row],[SUBTOTAL]]*0.16</f>
        <v>3.9424000000000001</v>
      </c>
      <c r="G258" s="7">
        <v>0.41760000000000019</v>
      </c>
      <c r="H258" s="7">
        <f>Ventas[[#This Row],[SUBTOTAL]]+Ventas[[#This Row],[IVA]]+Ventas[[#This Row],[DESCUENTO/EXTRA]]</f>
        <v>29</v>
      </c>
      <c r="I258" t="s">
        <v>18</v>
      </c>
      <c r="J258" t="s">
        <v>38</v>
      </c>
      <c r="K258" t="s">
        <v>15</v>
      </c>
      <c r="L258" t="s">
        <v>16</v>
      </c>
    </row>
    <row r="259" spans="1:12">
      <c r="A259" s="3">
        <v>45198</v>
      </c>
      <c r="B259" t="s">
        <v>28</v>
      </c>
      <c r="C259" s="5">
        <v>6</v>
      </c>
      <c r="D259" s="7">
        <v>78</v>
      </c>
      <c r="E259" s="7">
        <f>Ventas[[#This Row],[CANTIDAD]]*Ventas[[#This Row],[PRECIO_UNIT]]</f>
        <v>468</v>
      </c>
      <c r="F259" s="7">
        <f>Ventas[[#This Row],[SUBTOTAL]]*0.16</f>
        <v>74.88</v>
      </c>
      <c r="G259" s="7">
        <v>-1.9800000000000182</v>
      </c>
      <c r="H259" s="7">
        <f>Ventas[[#This Row],[SUBTOTAL]]+Ventas[[#This Row],[IVA]]+Ventas[[#This Row],[DESCUENTO/EXTRA]]</f>
        <v>540.9</v>
      </c>
      <c r="I259" t="s">
        <v>23</v>
      </c>
      <c r="J259" t="s">
        <v>24</v>
      </c>
      <c r="K259" t="s">
        <v>15</v>
      </c>
      <c r="L259" t="s">
        <v>16</v>
      </c>
    </row>
    <row r="260" spans="1:12">
      <c r="A260" s="3">
        <v>45200</v>
      </c>
      <c r="B260" t="s">
        <v>43</v>
      </c>
      <c r="C260" s="5">
        <v>5</v>
      </c>
      <c r="D260" s="7">
        <v>30.52</v>
      </c>
      <c r="E260" s="7">
        <f>Ventas[[#This Row],[CANTIDAD]]*Ventas[[#This Row],[PRECIO_UNIT]]</f>
        <v>152.6</v>
      </c>
      <c r="F260" s="7">
        <f>Ventas[[#This Row],[SUBTOTAL]]*0.16</f>
        <v>24.416</v>
      </c>
      <c r="G260" s="7">
        <v>-6.0000000000002274E-3</v>
      </c>
      <c r="H260" s="7">
        <f>Ventas[[#This Row],[SUBTOTAL]]+Ventas[[#This Row],[IVA]]+Ventas[[#This Row],[DESCUENTO/EXTRA]]</f>
        <v>177.01</v>
      </c>
      <c r="I260" t="s">
        <v>41</v>
      </c>
      <c r="J260" t="s">
        <v>44</v>
      </c>
      <c r="K260" t="s">
        <v>15</v>
      </c>
      <c r="L260" t="s">
        <v>16</v>
      </c>
    </row>
    <row r="261" spans="1:12">
      <c r="A261" s="3">
        <v>45205</v>
      </c>
      <c r="B261" t="s">
        <v>40</v>
      </c>
      <c r="C261" s="5">
        <v>12</v>
      </c>
      <c r="D261" s="7">
        <v>33.67</v>
      </c>
      <c r="E261" s="7">
        <f>Ventas[[#This Row],[CANTIDAD]]*Ventas[[#This Row],[PRECIO_UNIT]]</f>
        <v>404.04</v>
      </c>
      <c r="F261" s="7">
        <f>Ventas[[#This Row],[SUBTOTAL]]*0.16</f>
        <v>64.6464</v>
      </c>
      <c r="G261" s="7">
        <v>5.3599999999960346E-2</v>
      </c>
      <c r="H261" s="7">
        <f>Ventas[[#This Row],[SUBTOTAL]]+Ventas[[#This Row],[IVA]]+Ventas[[#This Row],[DESCUENTO/EXTRA]]</f>
        <v>468.74</v>
      </c>
      <c r="I261" t="s">
        <v>41</v>
      </c>
      <c r="J261" t="s">
        <v>34</v>
      </c>
      <c r="K261" t="s">
        <v>15</v>
      </c>
      <c r="L261" t="s">
        <v>16</v>
      </c>
    </row>
    <row r="262" spans="1:12">
      <c r="A262" s="3">
        <v>45205</v>
      </c>
      <c r="B262" t="s">
        <v>46</v>
      </c>
      <c r="C262" s="5">
        <v>10</v>
      </c>
      <c r="D262" s="7">
        <v>27</v>
      </c>
      <c r="E262" s="7">
        <f>Ventas[[#This Row],[CANTIDAD]]*Ventas[[#This Row],[PRECIO_UNIT]]</f>
        <v>270</v>
      </c>
      <c r="F262" s="7">
        <f>Ventas[[#This Row],[SUBTOTAL]]*0.16</f>
        <v>43.2</v>
      </c>
      <c r="G262" s="7">
        <v>1.0200000000000387</v>
      </c>
      <c r="H262" s="7">
        <f>Ventas[[#This Row],[SUBTOTAL]]+Ventas[[#This Row],[IVA]]+Ventas[[#This Row],[DESCUENTO/EXTRA]]</f>
        <v>314.22000000000003</v>
      </c>
      <c r="I262" t="s">
        <v>23</v>
      </c>
      <c r="J262" t="s">
        <v>54</v>
      </c>
      <c r="K262" t="s">
        <v>25</v>
      </c>
      <c r="L262" t="s">
        <v>16</v>
      </c>
    </row>
    <row r="263" spans="1:12">
      <c r="A263" s="3">
        <v>45205</v>
      </c>
      <c r="B263" t="s">
        <v>45</v>
      </c>
      <c r="C263" s="5">
        <v>25</v>
      </c>
      <c r="D263" s="7">
        <v>46</v>
      </c>
      <c r="E263" s="7">
        <f>Ventas[[#This Row],[CANTIDAD]]*Ventas[[#This Row],[PRECIO_UNIT]]</f>
        <v>1150</v>
      </c>
      <c r="F263" s="7">
        <f>Ventas[[#This Row],[SUBTOTAL]]*0.16</f>
        <v>184</v>
      </c>
      <c r="G263" s="7">
        <v>-6.8299999999999272</v>
      </c>
      <c r="H263" s="7">
        <f>Ventas[[#This Row],[SUBTOTAL]]+Ventas[[#This Row],[IVA]]+Ventas[[#This Row],[DESCUENTO/EXTRA]]</f>
        <v>1327.17</v>
      </c>
      <c r="I263" t="s">
        <v>13</v>
      </c>
      <c r="J263" t="s">
        <v>31</v>
      </c>
      <c r="K263" t="s">
        <v>15</v>
      </c>
      <c r="L263" t="s">
        <v>16</v>
      </c>
    </row>
    <row r="264" spans="1:12">
      <c r="A264" s="3">
        <v>45206</v>
      </c>
      <c r="B264" t="s">
        <v>35</v>
      </c>
      <c r="C264" s="5">
        <v>24</v>
      </c>
      <c r="D264" s="7">
        <v>27.6</v>
      </c>
      <c r="E264" s="7">
        <f>Ventas[[#This Row],[CANTIDAD]]*Ventas[[#This Row],[PRECIO_UNIT]]</f>
        <v>662.40000000000009</v>
      </c>
      <c r="F264" s="7">
        <f>Ventas[[#This Row],[SUBTOTAL]]*0.16</f>
        <v>105.98400000000002</v>
      </c>
      <c r="G264" s="7">
        <v>-0.38400000000012824</v>
      </c>
      <c r="H264" s="7">
        <f>Ventas[[#This Row],[SUBTOTAL]]+Ventas[[#This Row],[IVA]]+Ventas[[#This Row],[DESCUENTO/EXTRA]]</f>
        <v>768</v>
      </c>
      <c r="I264" t="s">
        <v>13</v>
      </c>
      <c r="J264" t="s">
        <v>30</v>
      </c>
      <c r="K264" t="s">
        <v>25</v>
      </c>
      <c r="L264" t="s">
        <v>16</v>
      </c>
    </row>
    <row r="265" spans="1:12">
      <c r="A265" s="3">
        <v>45206</v>
      </c>
      <c r="B265" t="s">
        <v>26</v>
      </c>
      <c r="C265" s="5">
        <v>9</v>
      </c>
      <c r="D265" s="7">
        <v>37.92</v>
      </c>
      <c r="E265" s="7">
        <f>Ventas[[#This Row],[CANTIDAD]]*Ventas[[#This Row],[PRECIO_UNIT]]</f>
        <v>341.28000000000003</v>
      </c>
      <c r="F265" s="7">
        <f>Ventas[[#This Row],[SUBTOTAL]]*0.16</f>
        <v>54.604800000000004</v>
      </c>
      <c r="G265" s="7">
        <v>2.5199999999983902E-2</v>
      </c>
      <c r="H265" s="7">
        <f>Ventas[[#This Row],[SUBTOTAL]]+Ventas[[#This Row],[IVA]]+Ventas[[#This Row],[DESCUENTO/EXTRA]]</f>
        <v>395.91</v>
      </c>
      <c r="I265" t="s">
        <v>32</v>
      </c>
      <c r="J265" t="s">
        <v>21</v>
      </c>
      <c r="K265" t="s">
        <v>25</v>
      </c>
      <c r="L265" t="s">
        <v>16</v>
      </c>
    </row>
    <row r="266" spans="1:12">
      <c r="A266" s="3">
        <v>45207</v>
      </c>
      <c r="B266" t="s">
        <v>20</v>
      </c>
      <c r="C266" s="5">
        <v>5</v>
      </c>
      <c r="D266" s="7">
        <v>11.5</v>
      </c>
      <c r="E266" s="7">
        <f>Ventas[[#This Row],[CANTIDAD]]*Ventas[[#This Row],[PRECIO_UNIT]]</f>
        <v>57.5</v>
      </c>
      <c r="F266" s="7">
        <f>Ventas[[#This Row],[SUBTOTAL]]*0.16</f>
        <v>9.2000000000000011</v>
      </c>
      <c r="G266" s="7">
        <v>0.29999999999999716</v>
      </c>
      <c r="H266" s="7">
        <f>Ventas[[#This Row],[SUBTOTAL]]+Ventas[[#This Row],[IVA]]+Ventas[[#This Row],[DESCUENTO/EXTRA]]</f>
        <v>67</v>
      </c>
      <c r="I266" t="s">
        <v>18</v>
      </c>
      <c r="J266" t="s">
        <v>24</v>
      </c>
      <c r="K266" t="s">
        <v>15</v>
      </c>
      <c r="L266" t="s">
        <v>16</v>
      </c>
    </row>
    <row r="267" spans="1:12">
      <c r="A267" s="3">
        <v>45207</v>
      </c>
      <c r="B267" t="s">
        <v>28</v>
      </c>
      <c r="C267" s="5">
        <v>30</v>
      </c>
      <c r="D267" s="7">
        <v>81</v>
      </c>
      <c r="E267" s="7">
        <f>Ventas[[#This Row],[CANTIDAD]]*Ventas[[#This Row],[PRECIO_UNIT]]</f>
        <v>2430</v>
      </c>
      <c r="F267" s="7">
        <f>Ventas[[#This Row],[SUBTOTAL]]*0.16</f>
        <v>388.8</v>
      </c>
      <c r="G267" s="7">
        <v>-6.6100000000001273</v>
      </c>
      <c r="H267" s="7">
        <f>Ventas[[#This Row],[SUBTOTAL]]+Ventas[[#This Row],[IVA]]+Ventas[[#This Row],[DESCUENTO/EXTRA]]</f>
        <v>2812.19</v>
      </c>
      <c r="I267" t="s">
        <v>13</v>
      </c>
      <c r="J267" t="s">
        <v>34</v>
      </c>
      <c r="K267" t="s">
        <v>25</v>
      </c>
      <c r="L267" t="s">
        <v>16</v>
      </c>
    </row>
    <row r="268" spans="1:12">
      <c r="A268" s="3">
        <v>45208</v>
      </c>
      <c r="B268" t="s">
        <v>22</v>
      </c>
      <c r="C268" s="5">
        <v>22</v>
      </c>
      <c r="D268" s="7">
        <v>22.49</v>
      </c>
      <c r="E268" s="7">
        <f>Ventas[[#This Row],[CANTIDAD]]*Ventas[[#This Row],[PRECIO_UNIT]]</f>
        <v>494.78</v>
      </c>
      <c r="F268" s="7">
        <f>Ventas[[#This Row],[SUBTOTAL]]*0.16</f>
        <v>79.1648</v>
      </c>
      <c r="G268" s="7">
        <v>5.5200000000013461E-2</v>
      </c>
      <c r="H268" s="7">
        <f>Ventas[[#This Row],[SUBTOTAL]]+Ventas[[#This Row],[IVA]]+Ventas[[#This Row],[DESCUENTO/EXTRA]]</f>
        <v>574</v>
      </c>
      <c r="I268" t="s">
        <v>23</v>
      </c>
      <c r="J268" t="s">
        <v>31</v>
      </c>
      <c r="K268" t="s">
        <v>15</v>
      </c>
      <c r="L268" t="s">
        <v>16</v>
      </c>
    </row>
    <row r="269" spans="1:12">
      <c r="A269" s="3">
        <v>45208</v>
      </c>
      <c r="B269" t="s">
        <v>43</v>
      </c>
      <c r="C269" s="5">
        <v>2</v>
      </c>
      <c r="D269" s="7">
        <v>30.41</v>
      </c>
      <c r="E269" s="7">
        <f>Ventas[[#This Row],[CANTIDAD]]*Ventas[[#This Row],[PRECIO_UNIT]]</f>
        <v>60.82</v>
      </c>
      <c r="F269" s="7">
        <f>Ventas[[#This Row],[SUBTOTAL]]*0.16</f>
        <v>9.7311999999999994</v>
      </c>
      <c r="G269" s="7">
        <v>-0.55119999999999436</v>
      </c>
      <c r="H269" s="7">
        <f>Ventas[[#This Row],[SUBTOTAL]]+Ventas[[#This Row],[IVA]]+Ventas[[#This Row],[DESCUENTO/EXTRA]]</f>
        <v>70</v>
      </c>
      <c r="I269" t="s">
        <v>23</v>
      </c>
      <c r="J269" t="s">
        <v>31</v>
      </c>
      <c r="K269" t="s">
        <v>15</v>
      </c>
      <c r="L269" t="s">
        <v>16</v>
      </c>
    </row>
    <row r="270" spans="1:12">
      <c r="A270" s="3">
        <v>45209</v>
      </c>
      <c r="B270" t="s">
        <v>43</v>
      </c>
      <c r="C270" s="5">
        <v>12</v>
      </c>
      <c r="D270" s="7">
        <v>28</v>
      </c>
      <c r="E270" s="7">
        <f>Ventas[[#This Row],[CANTIDAD]]*Ventas[[#This Row],[PRECIO_UNIT]]</f>
        <v>336</v>
      </c>
      <c r="F270" s="7">
        <f>Ventas[[#This Row],[SUBTOTAL]]*0.16</f>
        <v>53.76</v>
      </c>
      <c r="G270" s="7">
        <v>6.4300000000000068</v>
      </c>
      <c r="H270" s="7">
        <f>Ventas[[#This Row],[SUBTOTAL]]+Ventas[[#This Row],[IVA]]+Ventas[[#This Row],[DESCUENTO/EXTRA]]</f>
        <v>396.19</v>
      </c>
      <c r="I270" t="s">
        <v>18</v>
      </c>
      <c r="J270" t="s">
        <v>31</v>
      </c>
      <c r="K270" t="s">
        <v>25</v>
      </c>
      <c r="L270" t="s">
        <v>16</v>
      </c>
    </row>
    <row r="271" spans="1:12">
      <c r="A271" s="3">
        <v>45210</v>
      </c>
      <c r="B271" t="s">
        <v>20</v>
      </c>
      <c r="C271" s="5">
        <v>21</v>
      </c>
      <c r="D271" s="7">
        <v>11.95</v>
      </c>
      <c r="E271" s="7">
        <f>Ventas[[#This Row],[CANTIDAD]]*Ventas[[#This Row],[PRECIO_UNIT]]</f>
        <v>250.95</v>
      </c>
      <c r="F271" s="7">
        <f>Ventas[[#This Row],[SUBTOTAL]]*0.16</f>
        <v>40.152000000000001</v>
      </c>
      <c r="G271" s="7">
        <v>4.8000000000001819E-2</v>
      </c>
      <c r="H271" s="7">
        <f>Ventas[[#This Row],[SUBTOTAL]]+Ventas[[#This Row],[IVA]]+Ventas[[#This Row],[DESCUENTO/EXTRA]]</f>
        <v>291.14999999999998</v>
      </c>
      <c r="I271" t="s">
        <v>32</v>
      </c>
      <c r="J271" t="s">
        <v>47</v>
      </c>
      <c r="K271" t="s">
        <v>25</v>
      </c>
      <c r="L271" t="s">
        <v>16</v>
      </c>
    </row>
    <row r="272" spans="1:12">
      <c r="A272" s="3">
        <v>45211</v>
      </c>
      <c r="B272" t="s">
        <v>37</v>
      </c>
      <c r="C272" s="5">
        <v>26</v>
      </c>
      <c r="D272" s="7">
        <v>22</v>
      </c>
      <c r="E272" s="7">
        <f>Ventas[[#This Row],[CANTIDAD]]*Ventas[[#This Row],[PRECIO_UNIT]]</f>
        <v>572</v>
      </c>
      <c r="F272" s="7">
        <f>Ventas[[#This Row],[SUBTOTAL]]*0.16</f>
        <v>91.52</v>
      </c>
      <c r="G272" s="7">
        <v>-0.12999999999999545</v>
      </c>
      <c r="H272" s="7">
        <f>Ventas[[#This Row],[SUBTOTAL]]+Ventas[[#This Row],[IVA]]+Ventas[[#This Row],[DESCUENTO/EXTRA]]</f>
        <v>663.39</v>
      </c>
      <c r="I272" t="s">
        <v>41</v>
      </c>
      <c r="J272" t="s">
        <v>44</v>
      </c>
      <c r="K272" t="s">
        <v>15</v>
      </c>
      <c r="L272" t="s">
        <v>16</v>
      </c>
    </row>
    <row r="273" spans="1:12">
      <c r="A273" s="3">
        <v>45211</v>
      </c>
      <c r="B273" t="s">
        <v>37</v>
      </c>
      <c r="C273" s="5">
        <v>8</v>
      </c>
      <c r="D273" s="7">
        <v>22</v>
      </c>
      <c r="E273" s="7">
        <f>Ventas[[#This Row],[CANTIDAD]]*Ventas[[#This Row],[PRECIO_UNIT]]</f>
        <v>176</v>
      </c>
      <c r="F273" s="7">
        <f>Ventas[[#This Row],[SUBTOTAL]]*0.16</f>
        <v>28.16</v>
      </c>
      <c r="G273" s="7">
        <v>-0.15000000000000568</v>
      </c>
      <c r="H273" s="7">
        <f>Ventas[[#This Row],[SUBTOTAL]]+Ventas[[#This Row],[IVA]]+Ventas[[#This Row],[DESCUENTO/EXTRA]]</f>
        <v>204.01</v>
      </c>
      <c r="I273" t="s">
        <v>13</v>
      </c>
      <c r="J273" t="s">
        <v>47</v>
      </c>
      <c r="K273" t="s">
        <v>15</v>
      </c>
      <c r="L273" t="s">
        <v>16</v>
      </c>
    </row>
    <row r="274" spans="1:12">
      <c r="A274" s="3">
        <v>45212</v>
      </c>
      <c r="B274" t="s">
        <v>26</v>
      </c>
      <c r="C274" s="5">
        <v>3</v>
      </c>
      <c r="D274" s="7">
        <v>40.86</v>
      </c>
      <c r="E274" s="7">
        <f>Ventas[[#This Row],[CANTIDAD]]*Ventas[[#This Row],[PRECIO_UNIT]]</f>
        <v>122.58</v>
      </c>
      <c r="F274" s="7">
        <f>Ventas[[#This Row],[SUBTOTAL]]*0.16</f>
        <v>19.6128</v>
      </c>
      <c r="G274" s="7">
        <v>7.1999999999832198E-3</v>
      </c>
      <c r="H274" s="7">
        <f>Ventas[[#This Row],[SUBTOTAL]]+Ventas[[#This Row],[IVA]]+Ventas[[#This Row],[DESCUENTO/EXTRA]]</f>
        <v>142.19999999999999</v>
      </c>
      <c r="I274" t="s">
        <v>18</v>
      </c>
      <c r="J274" t="s">
        <v>51</v>
      </c>
      <c r="K274" t="s">
        <v>15</v>
      </c>
      <c r="L274" t="s">
        <v>16</v>
      </c>
    </row>
    <row r="275" spans="1:12">
      <c r="A275" s="3">
        <v>45214</v>
      </c>
      <c r="B275" t="s">
        <v>43</v>
      </c>
      <c r="C275" s="5">
        <v>19</v>
      </c>
      <c r="D275" s="7">
        <v>30.83</v>
      </c>
      <c r="E275" s="7">
        <f>Ventas[[#This Row],[CANTIDAD]]*Ventas[[#This Row],[PRECIO_UNIT]]</f>
        <v>585.77</v>
      </c>
      <c r="F275" s="7">
        <f>Ventas[[#This Row],[SUBTOTAL]]*0.16</f>
        <v>93.723200000000006</v>
      </c>
      <c r="G275" s="7">
        <v>-4.3199999999956162E-2</v>
      </c>
      <c r="H275" s="7">
        <f>Ventas[[#This Row],[SUBTOTAL]]+Ventas[[#This Row],[IVA]]+Ventas[[#This Row],[DESCUENTO/EXTRA]]</f>
        <v>679.45</v>
      </c>
      <c r="I275" t="s">
        <v>23</v>
      </c>
      <c r="J275" t="s">
        <v>31</v>
      </c>
      <c r="K275" t="s">
        <v>25</v>
      </c>
      <c r="L275" t="s">
        <v>16</v>
      </c>
    </row>
    <row r="276" spans="1:12">
      <c r="A276" s="3">
        <v>45214</v>
      </c>
      <c r="B276" t="s">
        <v>20</v>
      </c>
      <c r="C276" s="5">
        <v>10</v>
      </c>
      <c r="D276" s="7">
        <v>12.49</v>
      </c>
      <c r="E276" s="7">
        <f>Ventas[[#This Row],[CANTIDAD]]*Ventas[[#This Row],[PRECIO_UNIT]]</f>
        <v>124.9</v>
      </c>
      <c r="F276" s="7">
        <f>Ventas[[#This Row],[SUBTOTAL]]*0.16</f>
        <v>19.984000000000002</v>
      </c>
      <c r="G276" s="7">
        <v>-0.88400000000001455</v>
      </c>
      <c r="H276" s="7">
        <f>Ventas[[#This Row],[SUBTOTAL]]+Ventas[[#This Row],[IVA]]+Ventas[[#This Row],[DESCUENTO/EXTRA]]</f>
        <v>144</v>
      </c>
      <c r="I276" t="s">
        <v>32</v>
      </c>
      <c r="J276" t="s">
        <v>44</v>
      </c>
      <c r="K276" t="s">
        <v>25</v>
      </c>
      <c r="L276" t="s">
        <v>16</v>
      </c>
    </row>
    <row r="277" spans="1:12">
      <c r="A277" s="3">
        <v>45215</v>
      </c>
      <c r="B277" t="s">
        <v>40</v>
      </c>
      <c r="C277" s="5">
        <v>29</v>
      </c>
      <c r="D277" s="7">
        <v>33.04</v>
      </c>
      <c r="E277" s="7">
        <f>Ventas[[#This Row],[CANTIDAD]]*Ventas[[#This Row],[PRECIO_UNIT]]</f>
        <v>958.16</v>
      </c>
      <c r="F277" s="7">
        <f>Ventas[[#This Row],[SUBTOTAL]]*0.16</f>
        <v>153.3056</v>
      </c>
      <c r="G277" s="7">
        <v>-5.599999999958527E-3</v>
      </c>
      <c r="H277" s="7">
        <f>Ventas[[#This Row],[SUBTOTAL]]+Ventas[[#This Row],[IVA]]+Ventas[[#This Row],[DESCUENTO/EXTRA]]</f>
        <v>1111.46</v>
      </c>
      <c r="I277" t="s">
        <v>18</v>
      </c>
      <c r="J277" t="s">
        <v>30</v>
      </c>
      <c r="K277" t="s">
        <v>25</v>
      </c>
      <c r="L277" t="s">
        <v>16</v>
      </c>
    </row>
    <row r="278" spans="1:12">
      <c r="A278" s="3">
        <v>45216</v>
      </c>
      <c r="B278" t="s">
        <v>12</v>
      </c>
      <c r="C278" s="5">
        <v>5</v>
      </c>
      <c r="D278" s="7">
        <v>60</v>
      </c>
      <c r="E278" s="7">
        <f>Ventas[[#This Row],[CANTIDAD]]*Ventas[[#This Row],[PRECIO_UNIT]]</f>
        <v>300</v>
      </c>
      <c r="F278" s="7">
        <f>Ventas[[#This Row],[SUBTOTAL]]*0.16</f>
        <v>48</v>
      </c>
      <c r="G278" s="7">
        <v>2</v>
      </c>
      <c r="H278" s="7">
        <f>Ventas[[#This Row],[SUBTOTAL]]+Ventas[[#This Row],[IVA]]+Ventas[[#This Row],[DESCUENTO/EXTRA]]</f>
        <v>350</v>
      </c>
      <c r="I278" t="s">
        <v>23</v>
      </c>
      <c r="J278" t="s">
        <v>31</v>
      </c>
      <c r="K278" t="s">
        <v>25</v>
      </c>
      <c r="L278" t="s">
        <v>16</v>
      </c>
    </row>
    <row r="279" spans="1:12">
      <c r="A279" s="3">
        <v>45217</v>
      </c>
      <c r="B279" t="s">
        <v>35</v>
      </c>
      <c r="C279" s="5">
        <v>18</v>
      </c>
      <c r="D279" s="7">
        <v>25.34</v>
      </c>
      <c r="E279" s="7">
        <f>Ventas[[#This Row],[CANTIDAD]]*Ventas[[#This Row],[PRECIO_UNIT]]</f>
        <v>456.12</v>
      </c>
      <c r="F279" s="7">
        <f>Ventas[[#This Row],[SUBTOTAL]]*0.16</f>
        <v>72.979200000000006</v>
      </c>
      <c r="G279" s="7">
        <v>4.0799999999990177E-2</v>
      </c>
      <c r="H279" s="7">
        <f>Ventas[[#This Row],[SUBTOTAL]]+Ventas[[#This Row],[IVA]]+Ventas[[#This Row],[DESCUENTO/EXTRA]]</f>
        <v>529.14</v>
      </c>
      <c r="I279" t="s">
        <v>18</v>
      </c>
      <c r="J279" t="s">
        <v>48</v>
      </c>
      <c r="K279" t="s">
        <v>25</v>
      </c>
      <c r="L279" t="s">
        <v>16</v>
      </c>
    </row>
    <row r="280" spans="1:12">
      <c r="A280" s="3">
        <v>45217</v>
      </c>
      <c r="B280" t="s">
        <v>46</v>
      </c>
      <c r="C280" s="5">
        <v>6</v>
      </c>
      <c r="D280" s="7">
        <v>25.9</v>
      </c>
      <c r="E280" s="7">
        <f>Ventas[[#This Row],[CANTIDAD]]*Ventas[[#This Row],[PRECIO_UNIT]]</f>
        <v>155.39999999999998</v>
      </c>
      <c r="F280" s="7">
        <f>Ventas[[#This Row],[SUBTOTAL]]*0.16</f>
        <v>24.863999999999997</v>
      </c>
      <c r="G280" s="7">
        <v>-0.26399999999998158</v>
      </c>
      <c r="H280" s="7">
        <f>Ventas[[#This Row],[SUBTOTAL]]+Ventas[[#This Row],[IVA]]+Ventas[[#This Row],[DESCUENTO/EXTRA]]</f>
        <v>180</v>
      </c>
      <c r="I280" t="s">
        <v>32</v>
      </c>
      <c r="J280" t="s">
        <v>48</v>
      </c>
      <c r="K280" t="s">
        <v>25</v>
      </c>
      <c r="L280" t="s">
        <v>16</v>
      </c>
    </row>
    <row r="281" spans="1:12">
      <c r="A281" s="3">
        <v>45220</v>
      </c>
      <c r="B281" t="s">
        <v>28</v>
      </c>
      <c r="C281" s="5">
        <v>19</v>
      </c>
      <c r="D281" s="7">
        <v>75.959999999999994</v>
      </c>
      <c r="E281" s="7">
        <f>Ventas[[#This Row],[CANTIDAD]]*Ventas[[#This Row],[PRECIO_UNIT]]</f>
        <v>1443.2399999999998</v>
      </c>
      <c r="F281" s="7">
        <f>Ventas[[#This Row],[SUBTOTAL]]*0.16</f>
        <v>230.91839999999996</v>
      </c>
      <c r="G281" s="7">
        <v>-0.15839999999980137</v>
      </c>
      <c r="H281" s="7">
        <f>Ventas[[#This Row],[SUBTOTAL]]+Ventas[[#This Row],[IVA]]+Ventas[[#This Row],[DESCUENTO/EXTRA]]</f>
        <v>1674</v>
      </c>
      <c r="I281" t="s">
        <v>18</v>
      </c>
      <c r="J281" t="s">
        <v>24</v>
      </c>
      <c r="K281" t="s">
        <v>15</v>
      </c>
      <c r="L281" t="s">
        <v>16</v>
      </c>
    </row>
    <row r="282" spans="1:12">
      <c r="A282" s="3">
        <v>45221</v>
      </c>
      <c r="B282" t="s">
        <v>35</v>
      </c>
      <c r="C282" s="5">
        <v>3</v>
      </c>
      <c r="D282" s="7">
        <v>28</v>
      </c>
      <c r="E282" s="7">
        <f>Ventas[[#This Row],[CANTIDAD]]*Ventas[[#This Row],[PRECIO_UNIT]]</f>
        <v>84</v>
      </c>
      <c r="F282" s="7">
        <f>Ventas[[#This Row],[SUBTOTAL]]*0.16</f>
        <v>13.44</v>
      </c>
      <c r="G282" s="7">
        <v>0.5</v>
      </c>
      <c r="H282" s="7">
        <f>Ventas[[#This Row],[SUBTOTAL]]+Ventas[[#This Row],[IVA]]+Ventas[[#This Row],[DESCUENTO/EXTRA]]</f>
        <v>97.94</v>
      </c>
      <c r="I282" t="s">
        <v>41</v>
      </c>
      <c r="J282" t="s">
        <v>29</v>
      </c>
      <c r="K282" t="s">
        <v>15</v>
      </c>
      <c r="L282" t="s">
        <v>16</v>
      </c>
    </row>
    <row r="283" spans="1:12">
      <c r="A283" s="3">
        <v>45221</v>
      </c>
      <c r="B283" t="s">
        <v>43</v>
      </c>
      <c r="C283" s="5">
        <v>6</v>
      </c>
      <c r="D283" s="7">
        <v>28.58</v>
      </c>
      <c r="E283" s="7">
        <f>Ventas[[#This Row],[CANTIDAD]]*Ventas[[#This Row],[PRECIO_UNIT]]</f>
        <v>171.48</v>
      </c>
      <c r="F283" s="7">
        <f>Ventas[[#This Row],[SUBTOTAL]]*0.16</f>
        <v>27.436799999999998</v>
      </c>
      <c r="G283" s="7">
        <v>1.3200000000011869E-2</v>
      </c>
      <c r="H283" s="7">
        <f>Ventas[[#This Row],[SUBTOTAL]]+Ventas[[#This Row],[IVA]]+Ventas[[#This Row],[DESCUENTO/EXTRA]]</f>
        <v>198.93</v>
      </c>
      <c r="I283" t="s">
        <v>18</v>
      </c>
      <c r="J283" t="s">
        <v>42</v>
      </c>
      <c r="K283" t="s">
        <v>25</v>
      </c>
      <c r="L283" t="s">
        <v>16</v>
      </c>
    </row>
    <row r="284" spans="1:12">
      <c r="A284" s="3">
        <v>45222</v>
      </c>
      <c r="B284" t="s">
        <v>46</v>
      </c>
      <c r="C284" s="5">
        <v>6</v>
      </c>
      <c r="D284" s="7">
        <v>28</v>
      </c>
      <c r="E284" s="7">
        <f>Ventas[[#This Row],[CANTIDAD]]*Ventas[[#This Row],[PRECIO_UNIT]]</f>
        <v>168</v>
      </c>
      <c r="F284" s="7">
        <f>Ventas[[#This Row],[SUBTOTAL]]*0.16</f>
        <v>26.88</v>
      </c>
      <c r="G284" s="7">
        <v>0.99000000000000909</v>
      </c>
      <c r="H284" s="7">
        <f>Ventas[[#This Row],[SUBTOTAL]]+Ventas[[#This Row],[IVA]]+Ventas[[#This Row],[DESCUENTO/EXTRA]]</f>
        <v>195.87</v>
      </c>
      <c r="I284" t="s">
        <v>23</v>
      </c>
      <c r="J284" t="s">
        <v>52</v>
      </c>
      <c r="K284" t="s">
        <v>25</v>
      </c>
      <c r="L284" t="s">
        <v>16</v>
      </c>
    </row>
    <row r="285" spans="1:12">
      <c r="A285" s="3">
        <v>45223</v>
      </c>
      <c r="B285" t="s">
        <v>22</v>
      </c>
      <c r="C285" s="5">
        <v>3</v>
      </c>
      <c r="D285" s="7">
        <v>22</v>
      </c>
      <c r="E285" s="7">
        <f>Ventas[[#This Row],[CANTIDAD]]*Ventas[[#This Row],[PRECIO_UNIT]]</f>
        <v>66</v>
      </c>
      <c r="F285" s="7">
        <f>Ventas[[#This Row],[SUBTOTAL]]*0.16</f>
        <v>10.56</v>
      </c>
      <c r="G285" s="7">
        <v>-2.5600000000000023</v>
      </c>
      <c r="H285" s="7">
        <f>Ventas[[#This Row],[SUBTOTAL]]+Ventas[[#This Row],[IVA]]+Ventas[[#This Row],[DESCUENTO/EXTRA]]</f>
        <v>74</v>
      </c>
      <c r="I285" t="s">
        <v>23</v>
      </c>
      <c r="J285" t="s">
        <v>27</v>
      </c>
      <c r="K285" t="s">
        <v>25</v>
      </c>
      <c r="L285" t="s">
        <v>16</v>
      </c>
    </row>
    <row r="286" spans="1:12">
      <c r="A286" s="3">
        <v>45223</v>
      </c>
      <c r="B286" t="s">
        <v>37</v>
      </c>
      <c r="C286" s="5">
        <v>14</v>
      </c>
      <c r="D286" s="7">
        <v>25.15</v>
      </c>
      <c r="E286" s="7">
        <f>Ventas[[#This Row],[CANTIDAD]]*Ventas[[#This Row],[PRECIO_UNIT]]</f>
        <v>352.09999999999997</v>
      </c>
      <c r="F286" s="7">
        <f>Ventas[[#This Row],[SUBTOTAL]]*0.16</f>
        <v>56.335999999999999</v>
      </c>
      <c r="G286" s="7">
        <v>-7.5999999999964984E-2</v>
      </c>
      <c r="H286" s="7">
        <f>Ventas[[#This Row],[SUBTOTAL]]+Ventas[[#This Row],[IVA]]+Ventas[[#This Row],[DESCUENTO/EXTRA]]</f>
        <v>408.36</v>
      </c>
      <c r="I286" t="s">
        <v>23</v>
      </c>
      <c r="J286" t="s">
        <v>52</v>
      </c>
      <c r="K286" t="s">
        <v>25</v>
      </c>
      <c r="L286" t="s">
        <v>16</v>
      </c>
    </row>
    <row r="287" spans="1:12">
      <c r="A287" s="3">
        <v>45223</v>
      </c>
      <c r="B287" t="s">
        <v>40</v>
      </c>
      <c r="C287" s="5">
        <v>16</v>
      </c>
      <c r="D287" s="7">
        <v>35</v>
      </c>
      <c r="E287" s="7">
        <f>Ventas[[#This Row],[CANTIDAD]]*Ventas[[#This Row],[PRECIO_UNIT]]</f>
        <v>560</v>
      </c>
      <c r="F287" s="7">
        <f>Ventas[[#This Row],[SUBTOTAL]]*0.16</f>
        <v>89.600000000000009</v>
      </c>
      <c r="G287" s="7">
        <v>-3.6000000000000227</v>
      </c>
      <c r="H287" s="7">
        <f>Ventas[[#This Row],[SUBTOTAL]]+Ventas[[#This Row],[IVA]]+Ventas[[#This Row],[DESCUENTO/EXTRA]]</f>
        <v>646</v>
      </c>
      <c r="I287" t="s">
        <v>18</v>
      </c>
      <c r="J287" t="s">
        <v>47</v>
      </c>
      <c r="K287" t="s">
        <v>25</v>
      </c>
      <c r="L287" t="s">
        <v>16</v>
      </c>
    </row>
    <row r="288" spans="1:12">
      <c r="A288" s="3">
        <v>45224</v>
      </c>
      <c r="B288" t="s">
        <v>22</v>
      </c>
      <c r="C288" s="5">
        <v>20</v>
      </c>
      <c r="D288" s="7">
        <v>22.54</v>
      </c>
      <c r="E288" s="7">
        <f>Ventas[[#This Row],[CANTIDAD]]*Ventas[[#This Row],[PRECIO_UNIT]]</f>
        <v>450.79999999999995</v>
      </c>
      <c r="F288" s="7">
        <f>Ventas[[#This Row],[SUBTOTAL]]*0.16</f>
        <v>72.128</v>
      </c>
      <c r="G288" s="7">
        <v>7.2000000000002728E-2</v>
      </c>
      <c r="H288" s="7">
        <f>Ventas[[#This Row],[SUBTOTAL]]+Ventas[[#This Row],[IVA]]+Ventas[[#This Row],[DESCUENTO/EXTRA]]</f>
        <v>523</v>
      </c>
      <c r="I288" t="s">
        <v>23</v>
      </c>
      <c r="J288" t="s">
        <v>48</v>
      </c>
      <c r="K288" t="s">
        <v>15</v>
      </c>
      <c r="L288" t="s">
        <v>16</v>
      </c>
    </row>
    <row r="289" spans="1:12">
      <c r="A289" s="3">
        <v>45224</v>
      </c>
      <c r="B289" t="s">
        <v>26</v>
      </c>
      <c r="C289" s="5">
        <v>30</v>
      </c>
      <c r="D289" s="7">
        <v>40</v>
      </c>
      <c r="E289" s="7">
        <f>Ventas[[#This Row],[CANTIDAD]]*Ventas[[#This Row],[PRECIO_UNIT]]</f>
        <v>1200</v>
      </c>
      <c r="F289" s="7">
        <f>Ventas[[#This Row],[SUBTOTAL]]*0.16</f>
        <v>192</v>
      </c>
      <c r="G289" s="7">
        <v>12.1400000000001</v>
      </c>
      <c r="H289" s="7">
        <f>Ventas[[#This Row],[SUBTOTAL]]+Ventas[[#This Row],[IVA]]+Ventas[[#This Row],[DESCUENTO/EXTRA]]</f>
        <v>1404.14</v>
      </c>
      <c r="I289" t="s">
        <v>23</v>
      </c>
      <c r="J289" t="s">
        <v>19</v>
      </c>
      <c r="K289" t="s">
        <v>25</v>
      </c>
      <c r="L289" t="s">
        <v>16</v>
      </c>
    </row>
    <row r="290" spans="1:12">
      <c r="A290" s="3">
        <v>45225</v>
      </c>
      <c r="B290" t="s">
        <v>43</v>
      </c>
      <c r="C290" s="5">
        <v>1</v>
      </c>
      <c r="D290" s="7">
        <v>30.6</v>
      </c>
      <c r="E290" s="7">
        <f>Ventas[[#This Row],[CANTIDAD]]*Ventas[[#This Row],[PRECIO_UNIT]]</f>
        <v>30.6</v>
      </c>
      <c r="F290" s="7">
        <f>Ventas[[#This Row],[SUBTOTAL]]*0.16</f>
        <v>4.8959999999999999</v>
      </c>
      <c r="G290" s="7">
        <v>3.9999999999977831E-3</v>
      </c>
      <c r="H290" s="7">
        <f>Ventas[[#This Row],[SUBTOTAL]]+Ventas[[#This Row],[IVA]]+Ventas[[#This Row],[DESCUENTO/EXTRA]]</f>
        <v>35.5</v>
      </c>
      <c r="I290" t="s">
        <v>18</v>
      </c>
      <c r="J290" t="s">
        <v>56</v>
      </c>
      <c r="K290" t="s">
        <v>15</v>
      </c>
      <c r="L290" t="s">
        <v>16</v>
      </c>
    </row>
    <row r="291" spans="1:12">
      <c r="A291" s="3">
        <v>45226</v>
      </c>
      <c r="B291" t="s">
        <v>40</v>
      </c>
      <c r="C291" s="5">
        <v>8</v>
      </c>
      <c r="D291" s="7">
        <v>35.44</v>
      </c>
      <c r="E291" s="7">
        <f>Ventas[[#This Row],[CANTIDAD]]*Ventas[[#This Row],[PRECIO_UNIT]]</f>
        <v>283.52</v>
      </c>
      <c r="F291" s="7">
        <f>Ventas[[#This Row],[SUBTOTAL]]*0.16</f>
        <v>45.363199999999999</v>
      </c>
      <c r="G291" s="7">
        <v>1.6799999999989268E-2</v>
      </c>
      <c r="H291" s="7">
        <f>Ventas[[#This Row],[SUBTOTAL]]+Ventas[[#This Row],[IVA]]+Ventas[[#This Row],[DESCUENTO/EXTRA]]</f>
        <v>328.9</v>
      </c>
      <c r="I291" t="s">
        <v>18</v>
      </c>
      <c r="J291" t="s">
        <v>39</v>
      </c>
      <c r="K291" t="s">
        <v>15</v>
      </c>
      <c r="L291" t="s">
        <v>16</v>
      </c>
    </row>
    <row r="292" spans="1:12">
      <c r="A292" s="3">
        <v>45226</v>
      </c>
      <c r="B292" t="s">
        <v>28</v>
      </c>
      <c r="C292" s="5">
        <v>4</v>
      </c>
      <c r="D292" s="7">
        <v>82</v>
      </c>
      <c r="E292" s="7">
        <f>Ventas[[#This Row],[CANTIDAD]]*Ventas[[#This Row],[PRECIO_UNIT]]</f>
        <v>328</v>
      </c>
      <c r="F292" s="7">
        <f>Ventas[[#This Row],[SUBTOTAL]]*0.16</f>
        <v>52.480000000000004</v>
      </c>
      <c r="G292" s="7">
        <v>1.5199999999999818</v>
      </c>
      <c r="H292" s="7">
        <f>Ventas[[#This Row],[SUBTOTAL]]+Ventas[[#This Row],[IVA]]+Ventas[[#This Row],[DESCUENTO/EXTRA]]</f>
        <v>382</v>
      </c>
      <c r="I292" t="s">
        <v>13</v>
      </c>
      <c r="J292" t="s">
        <v>44</v>
      </c>
      <c r="K292" t="s">
        <v>25</v>
      </c>
      <c r="L292" t="s">
        <v>16</v>
      </c>
    </row>
    <row r="293" spans="1:12">
      <c r="A293" s="3">
        <v>45226</v>
      </c>
      <c r="B293" t="s">
        <v>40</v>
      </c>
      <c r="C293" s="5">
        <v>23</v>
      </c>
      <c r="D293" s="7">
        <v>30</v>
      </c>
      <c r="E293" s="7">
        <f>Ventas[[#This Row],[CANTIDAD]]*Ventas[[#This Row],[PRECIO_UNIT]]</f>
        <v>690</v>
      </c>
      <c r="F293" s="7">
        <f>Ventas[[#This Row],[SUBTOTAL]]*0.16</f>
        <v>110.4</v>
      </c>
      <c r="G293" s="7">
        <v>24.399999999999977</v>
      </c>
      <c r="H293" s="7">
        <f>Ventas[[#This Row],[SUBTOTAL]]+Ventas[[#This Row],[IVA]]+Ventas[[#This Row],[DESCUENTO/EXTRA]]</f>
        <v>824.8</v>
      </c>
      <c r="I293" t="s">
        <v>23</v>
      </c>
      <c r="J293" t="s">
        <v>53</v>
      </c>
      <c r="K293" t="s">
        <v>15</v>
      </c>
      <c r="L293" t="s">
        <v>16</v>
      </c>
    </row>
    <row r="294" spans="1:12">
      <c r="A294" s="3">
        <v>45227</v>
      </c>
      <c r="B294" t="s">
        <v>37</v>
      </c>
      <c r="C294" s="5">
        <v>29</v>
      </c>
      <c r="D294" s="7">
        <v>25.11</v>
      </c>
      <c r="E294" s="7">
        <f>Ventas[[#This Row],[CANTIDAD]]*Ventas[[#This Row],[PRECIO_UNIT]]</f>
        <v>728.18999999999994</v>
      </c>
      <c r="F294" s="7">
        <f>Ventas[[#This Row],[SUBTOTAL]]*0.16</f>
        <v>116.51039999999999</v>
      </c>
      <c r="G294" s="7">
        <v>-1.0399999999890497E-2</v>
      </c>
      <c r="H294" s="7">
        <f>Ventas[[#This Row],[SUBTOTAL]]+Ventas[[#This Row],[IVA]]+Ventas[[#This Row],[DESCUENTO/EXTRA]]</f>
        <v>844.69</v>
      </c>
      <c r="I294" t="s">
        <v>18</v>
      </c>
      <c r="J294" t="s">
        <v>48</v>
      </c>
      <c r="K294" t="s">
        <v>25</v>
      </c>
      <c r="L294" t="s">
        <v>16</v>
      </c>
    </row>
    <row r="295" spans="1:12">
      <c r="A295" s="3">
        <v>45228</v>
      </c>
      <c r="B295" t="s">
        <v>28</v>
      </c>
      <c r="C295" s="5">
        <v>23</v>
      </c>
      <c r="D295" s="7">
        <v>75.34</v>
      </c>
      <c r="E295" s="7">
        <f>Ventas[[#This Row],[CANTIDAD]]*Ventas[[#This Row],[PRECIO_UNIT]]</f>
        <v>1732.8200000000002</v>
      </c>
      <c r="F295" s="7">
        <f>Ventas[[#This Row],[SUBTOTAL]]*0.16</f>
        <v>277.25120000000004</v>
      </c>
      <c r="G295" s="7">
        <v>6.8799999999782813E-2</v>
      </c>
      <c r="H295" s="7">
        <f>Ventas[[#This Row],[SUBTOTAL]]+Ventas[[#This Row],[IVA]]+Ventas[[#This Row],[DESCUENTO/EXTRA]]</f>
        <v>2010.14</v>
      </c>
      <c r="I295" t="s">
        <v>18</v>
      </c>
      <c r="J295" t="s">
        <v>48</v>
      </c>
      <c r="K295" t="s">
        <v>15</v>
      </c>
      <c r="L295" t="s">
        <v>16</v>
      </c>
    </row>
    <row r="296" spans="1:12">
      <c r="A296" s="3">
        <v>45231</v>
      </c>
      <c r="B296" t="s">
        <v>20</v>
      </c>
      <c r="C296" s="5">
        <v>16</v>
      </c>
      <c r="D296" s="7">
        <v>12.54</v>
      </c>
      <c r="E296" s="7">
        <f>Ventas[[#This Row],[CANTIDAD]]*Ventas[[#This Row],[PRECIO_UNIT]]</f>
        <v>200.64</v>
      </c>
      <c r="F296" s="7">
        <f>Ventas[[#This Row],[SUBTOTAL]]*0.16</f>
        <v>32.102399999999996</v>
      </c>
      <c r="G296" s="7">
        <v>-7.2399999999987585E-2</v>
      </c>
      <c r="H296" s="7">
        <f>Ventas[[#This Row],[SUBTOTAL]]+Ventas[[#This Row],[IVA]]+Ventas[[#This Row],[DESCUENTO/EXTRA]]</f>
        <v>232.67</v>
      </c>
      <c r="I296" t="s">
        <v>23</v>
      </c>
      <c r="J296" t="s">
        <v>24</v>
      </c>
      <c r="K296" t="s">
        <v>15</v>
      </c>
      <c r="L296" t="s">
        <v>16</v>
      </c>
    </row>
    <row r="297" spans="1:12">
      <c r="A297" s="3">
        <v>45231</v>
      </c>
      <c r="B297" t="s">
        <v>12</v>
      </c>
      <c r="C297" s="5">
        <v>22</v>
      </c>
      <c r="D297" s="7">
        <v>56.37</v>
      </c>
      <c r="E297" s="7">
        <f>Ventas[[#This Row],[CANTIDAD]]*Ventas[[#This Row],[PRECIO_UNIT]]</f>
        <v>1240.1399999999999</v>
      </c>
      <c r="F297" s="7">
        <f>Ventas[[#This Row],[SUBTOTAL]]*0.16</f>
        <v>198.42239999999998</v>
      </c>
      <c r="G297" s="7">
        <v>7.7600000000302316E-2</v>
      </c>
      <c r="H297" s="7">
        <f>Ventas[[#This Row],[SUBTOTAL]]+Ventas[[#This Row],[IVA]]+Ventas[[#This Row],[DESCUENTO/EXTRA]]</f>
        <v>1438.64</v>
      </c>
      <c r="I297" t="s">
        <v>18</v>
      </c>
      <c r="J297" t="s">
        <v>14</v>
      </c>
      <c r="K297" t="s">
        <v>15</v>
      </c>
      <c r="L297" t="s">
        <v>16</v>
      </c>
    </row>
    <row r="298" spans="1:12">
      <c r="A298" s="3">
        <v>45232</v>
      </c>
      <c r="B298" t="s">
        <v>43</v>
      </c>
      <c r="C298" s="5">
        <v>24</v>
      </c>
      <c r="D298" s="7">
        <v>27.28</v>
      </c>
      <c r="E298" s="7">
        <f>Ventas[[#This Row],[CANTIDAD]]*Ventas[[#This Row],[PRECIO_UNIT]]</f>
        <v>654.72</v>
      </c>
      <c r="F298" s="7">
        <f>Ventas[[#This Row],[SUBTOTAL]]*0.16</f>
        <v>104.7552</v>
      </c>
      <c r="G298" s="7">
        <v>4.479999999989559E-2</v>
      </c>
      <c r="H298" s="7">
        <f>Ventas[[#This Row],[SUBTOTAL]]+Ventas[[#This Row],[IVA]]+Ventas[[#This Row],[DESCUENTO/EXTRA]]</f>
        <v>759.52</v>
      </c>
      <c r="I298" t="s">
        <v>18</v>
      </c>
      <c r="J298" t="s">
        <v>49</v>
      </c>
      <c r="K298" t="s">
        <v>15</v>
      </c>
      <c r="L298" t="s">
        <v>16</v>
      </c>
    </row>
    <row r="299" spans="1:12">
      <c r="A299" s="3">
        <v>45232</v>
      </c>
      <c r="B299" t="s">
        <v>37</v>
      </c>
      <c r="C299" s="5">
        <v>15</v>
      </c>
      <c r="D299" s="7">
        <v>23</v>
      </c>
      <c r="E299" s="7">
        <f>Ventas[[#This Row],[CANTIDAD]]*Ventas[[#This Row],[PRECIO_UNIT]]</f>
        <v>345</v>
      </c>
      <c r="F299" s="7">
        <f>Ventas[[#This Row],[SUBTOTAL]]*0.16</f>
        <v>55.2</v>
      </c>
      <c r="G299" s="7">
        <v>-3.8999999999999773</v>
      </c>
      <c r="H299" s="7">
        <f>Ventas[[#This Row],[SUBTOTAL]]+Ventas[[#This Row],[IVA]]+Ventas[[#This Row],[DESCUENTO/EXTRA]]</f>
        <v>396.3</v>
      </c>
      <c r="I299" t="s">
        <v>18</v>
      </c>
      <c r="J299" t="s">
        <v>34</v>
      </c>
      <c r="K299" t="s">
        <v>25</v>
      </c>
      <c r="L299" t="s">
        <v>16</v>
      </c>
    </row>
    <row r="300" spans="1:12">
      <c r="A300" s="3">
        <v>45233</v>
      </c>
      <c r="B300" t="s">
        <v>45</v>
      </c>
      <c r="C300" s="5">
        <v>21</v>
      </c>
      <c r="D300" s="7">
        <v>46.9</v>
      </c>
      <c r="E300" s="7">
        <f>Ventas[[#This Row],[CANTIDAD]]*Ventas[[#This Row],[PRECIO_UNIT]]</f>
        <v>984.9</v>
      </c>
      <c r="F300" s="7">
        <f>Ventas[[#This Row],[SUBTOTAL]]*0.16</f>
        <v>157.584</v>
      </c>
      <c r="G300" s="7">
        <v>0.5160000000000764</v>
      </c>
      <c r="H300" s="7">
        <f>Ventas[[#This Row],[SUBTOTAL]]+Ventas[[#This Row],[IVA]]+Ventas[[#This Row],[DESCUENTO/EXTRA]]</f>
        <v>1143</v>
      </c>
      <c r="I300" t="s">
        <v>18</v>
      </c>
      <c r="J300" t="s">
        <v>24</v>
      </c>
      <c r="K300" t="s">
        <v>25</v>
      </c>
      <c r="L300" t="s">
        <v>16</v>
      </c>
    </row>
    <row r="301" spans="1:12">
      <c r="A301" s="3">
        <v>45234</v>
      </c>
      <c r="B301" t="s">
        <v>20</v>
      </c>
      <c r="C301" s="5">
        <v>3</v>
      </c>
      <c r="D301" s="7">
        <v>11.18</v>
      </c>
      <c r="E301" s="7">
        <f>Ventas[[#This Row],[CANTIDAD]]*Ventas[[#This Row],[PRECIO_UNIT]]</f>
        <v>33.54</v>
      </c>
      <c r="F301" s="7">
        <f>Ventas[[#This Row],[SUBTOTAL]]*0.16</f>
        <v>5.3663999999999996</v>
      </c>
      <c r="G301" s="7">
        <v>-1.6399999999997306E-2</v>
      </c>
      <c r="H301" s="7">
        <f>Ventas[[#This Row],[SUBTOTAL]]+Ventas[[#This Row],[IVA]]+Ventas[[#This Row],[DESCUENTO/EXTRA]]</f>
        <v>38.89</v>
      </c>
      <c r="I301" t="s">
        <v>13</v>
      </c>
      <c r="J301" t="s">
        <v>51</v>
      </c>
      <c r="K301" t="s">
        <v>25</v>
      </c>
      <c r="L301" t="s">
        <v>16</v>
      </c>
    </row>
    <row r="302" spans="1:12">
      <c r="A302" s="3">
        <v>45234</v>
      </c>
      <c r="B302" t="s">
        <v>46</v>
      </c>
      <c r="C302" s="5">
        <v>24</v>
      </c>
      <c r="D302" s="7">
        <v>25.22</v>
      </c>
      <c r="E302" s="7">
        <f>Ventas[[#This Row],[CANTIDAD]]*Ventas[[#This Row],[PRECIO_UNIT]]</f>
        <v>605.28</v>
      </c>
      <c r="F302" s="7">
        <f>Ventas[[#This Row],[SUBTOTAL]]*0.16</f>
        <v>96.844799999999992</v>
      </c>
      <c r="G302" s="7">
        <v>-3.4799999999904685E-2</v>
      </c>
      <c r="H302" s="7">
        <f>Ventas[[#This Row],[SUBTOTAL]]+Ventas[[#This Row],[IVA]]+Ventas[[#This Row],[DESCUENTO/EXTRA]]</f>
        <v>702.09</v>
      </c>
      <c r="I302" t="s">
        <v>41</v>
      </c>
      <c r="J302" t="s">
        <v>47</v>
      </c>
      <c r="K302" t="s">
        <v>15</v>
      </c>
      <c r="L302" t="s">
        <v>16</v>
      </c>
    </row>
    <row r="303" spans="1:12">
      <c r="A303" s="3">
        <v>45236</v>
      </c>
      <c r="B303" t="s">
        <v>20</v>
      </c>
      <c r="C303" s="5">
        <v>3</v>
      </c>
      <c r="D303" s="7">
        <v>11.8</v>
      </c>
      <c r="E303" s="7">
        <f>Ventas[[#This Row],[CANTIDAD]]*Ventas[[#This Row],[PRECIO_UNIT]]</f>
        <v>35.400000000000006</v>
      </c>
      <c r="F303" s="7">
        <f>Ventas[[#This Row],[SUBTOTAL]]*0.16</f>
        <v>5.6640000000000006</v>
      </c>
      <c r="G303" s="7">
        <v>-4.0000000000048885E-3</v>
      </c>
      <c r="H303" s="7">
        <f>Ventas[[#This Row],[SUBTOTAL]]+Ventas[[#This Row],[IVA]]+Ventas[[#This Row],[DESCUENTO/EXTRA]]</f>
        <v>41.06</v>
      </c>
      <c r="I303" t="s">
        <v>23</v>
      </c>
      <c r="J303" t="s">
        <v>48</v>
      </c>
      <c r="K303" t="s">
        <v>25</v>
      </c>
      <c r="L303" t="s">
        <v>16</v>
      </c>
    </row>
    <row r="304" spans="1:12">
      <c r="A304" s="3">
        <v>45237</v>
      </c>
      <c r="B304" t="s">
        <v>26</v>
      </c>
      <c r="C304" s="5">
        <v>24</v>
      </c>
      <c r="D304" s="7">
        <v>38.96</v>
      </c>
      <c r="E304" s="7">
        <f>Ventas[[#This Row],[CANTIDAD]]*Ventas[[#This Row],[PRECIO_UNIT]]</f>
        <v>935.04</v>
      </c>
      <c r="F304" s="7">
        <f>Ventas[[#This Row],[SUBTOTAL]]*0.16</f>
        <v>149.60640000000001</v>
      </c>
      <c r="G304" s="7">
        <v>-5.6400000000166983E-2</v>
      </c>
      <c r="H304" s="7">
        <f>Ventas[[#This Row],[SUBTOTAL]]+Ventas[[#This Row],[IVA]]+Ventas[[#This Row],[DESCUENTO/EXTRA]]</f>
        <v>1084.5899999999999</v>
      </c>
      <c r="I304" t="s">
        <v>18</v>
      </c>
      <c r="J304" t="s">
        <v>31</v>
      </c>
      <c r="K304" t="s">
        <v>15</v>
      </c>
      <c r="L304" t="s">
        <v>16</v>
      </c>
    </row>
    <row r="305" spans="1:12">
      <c r="A305" s="3">
        <v>45238</v>
      </c>
      <c r="B305" t="s">
        <v>45</v>
      </c>
      <c r="C305" s="5">
        <v>23</v>
      </c>
      <c r="D305" s="7">
        <v>50.32</v>
      </c>
      <c r="E305" s="7">
        <f>Ventas[[#This Row],[CANTIDAD]]*Ventas[[#This Row],[PRECIO_UNIT]]</f>
        <v>1157.3599999999999</v>
      </c>
      <c r="F305" s="7">
        <f>Ventas[[#This Row],[SUBTOTAL]]*0.16</f>
        <v>185.17759999999998</v>
      </c>
      <c r="G305" s="7">
        <v>-0.12759999999980209</v>
      </c>
      <c r="H305" s="7">
        <f>Ventas[[#This Row],[SUBTOTAL]]+Ventas[[#This Row],[IVA]]+Ventas[[#This Row],[DESCUENTO/EXTRA]]</f>
        <v>1342.41</v>
      </c>
      <c r="I305" t="s">
        <v>18</v>
      </c>
      <c r="J305" t="s">
        <v>44</v>
      </c>
      <c r="K305" t="s">
        <v>15</v>
      </c>
      <c r="L305" t="s">
        <v>16</v>
      </c>
    </row>
    <row r="306" spans="1:12">
      <c r="A306" s="3">
        <v>45239</v>
      </c>
      <c r="B306" t="s">
        <v>35</v>
      </c>
      <c r="C306" s="5">
        <v>23</v>
      </c>
      <c r="D306" s="7">
        <v>26.8</v>
      </c>
      <c r="E306" s="7">
        <f>Ventas[[#This Row],[CANTIDAD]]*Ventas[[#This Row],[PRECIO_UNIT]]</f>
        <v>616.4</v>
      </c>
      <c r="F306" s="7">
        <f>Ventas[[#This Row],[SUBTOTAL]]*0.16</f>
        <v>98.623999999999995</v>
      </c>
      <c r="G306" s="7">
        <v>7.6000000000021828E-2</v>
      </c>
      <c r="H306" s="7">
        <f>Ventas[[#This Row],[SUBTOTAL]]+Ventas[[#This Row],[IVA]]+Ventas[[#This Row],[DESCUENTO/EXTRA]]</f>
        <v>715.1</v>
      </c>
      <c r="I306" t="s">
        <v>18</v>
      </c>
      <c r="J306" t="s">
        <v>56</v>
      </c>
      <c r="K306" t="s">
        <v>15</v>
      </c>
      <c r="L306" t="s">
        <v>16</v>
      </c>
    </row>
    <row r="307" spans="1:12">
      <c r="A307" s="3">
        <v>45241</v>
      </c>
      <c r="B307" t="s">
        <v>20</v>
      </c>
      <c r="C307" s="5">
        <v>11</v>
      </c>
      <c r="D307" s="7">
        <v>11.17</v>
      </c>
      <c r="E307" s="7">
        <f>Ventas[[#This Row],[CANTIDAD]]*Ventas[[#This Row],[PRECIO_UNIT]]</f>
        <v>122.87</v>
      </c>
      <c r="F307" s="7">
        <f>Ventas[[#This Row],[SUBTOTAL]]*0.16</f>
        <v>19.659200000000002</v>
      </c>
      <c r="G307" s="7">
        <v>4.0799999999990177E-2</v>
      </c>
      <c r="H307" s="7">
        <f>Ventas[[#This Row],[SUBTOTAL]]+Ventas[[#This Row],[IVA]]+Ventas[[#This Row],[DESCUENTO/EXTRA]]</f>
        <v>142.57</v>
      </c>
      <c r="I307" t="s">
        <v>23</v>
      </c>
      <c r="J307" t="s">
        <v>36</v>
      </c>
      <c r="K307" t="s">
        <v>25</v>
      </c>
      <c r="L307" t="s">
        <v>16</v>
      </c>
    </row>
    <row r="308" spans="1:12">
      <c r="A308" s="3">
        <v>45242</v>
      </c>
      <c r="B308" t="s">
        <v>26</v>
      </c>
      <c r="C308" s="5">
        <v>26</v>
      </c>
      <c r="D308" s="7">
        <v>38.94</v>
      </c>
      <c r="E308" s="7">
        <f>Ventas[[#This Row],[CANTIDAD]]*Ventas[[#This Row],[PRECIO_UNIT]]</f>
        <v>1012.4399999999999</v>
      </c>
      <c r="F308" s="7">
        <f>Ventas[[#This Row],[SUBTOTAL]]*0.16</f>
        <v>161.99039999999999</v>
      </c>
      <c r="G308" s="7">
        <v>-0.43039999999996326</v>
      </c>
      <c r="H308" s="7">
        <f>Ventas[[#This Row],[SUBTOTAL]]+Ventas[[#This Row],[IVA]]+Ventas[[#This Row],[DESCUENTO/EXTRA]]</f>
        <v>1174</v>
      </c>
      <c r="I308" t="s">
        <v>18</v>
      </c>
      <c r="J308" t="s">
        <v>53</v>
      </c>
      <c r="K308" t="s">
        <v>25</v>
      </c>
      <c r="L308" t="s">
        <v>16</v>
      </c>
    </row>
    <row r="309" spans="1:12">
      <c r="A309" s="3">
        <v>45243</v>
      </c>
      <c r="B309" t="s">
        <v>45</v>
      </c>
      <c r="C309" s="5">
        <v>3</v>
      </c>
      <c r="D309" s="7">
        <v>49.64</v>
      </c>
      <c r="E309" s="7">
        <f>Ventas[[#This Row],[CANTIDAD]]*Ventas[[#This Row],[PRECIO_UNIT]]</f>
        <v>148.92000000000002</v>
      </c>
      <c r="F309" s="7">
        <f>Ventas[[#This Row],[SUBTOTAL]]*0.16</f>
        <v>23.827200000000001</v>
      </c>
      <c r="G309" s="7">
        <v>-1.7200000000030968E-2</v>
      </c>
      <c r="H309" s="7">
        <f>Ventas[[#This Row],[SUBTOTAL]]+Ventas[[#This Row],[IVA]]+Ventas[[#This Row],[DESCUENTO/EXTRA]]</f>
        <v>172.73</v>
      </c>
      <c r="I309" t="s">
        <v>32</v>
      </c>
      <c r="J309" t="s">
        <v>21</v>
      </c>
      <c r="K309" t="s">
        <v>25</v>
      </c>
      <c r="L309" t="s">
        <v>16</v>
      </c>
    </row>
    <row r="310" spans="1:12">
      <c r="A310" s="3">
        <v>45244</v>
      </c>
      <c r="B310" t="s">
        <v>35</v>
      </c>
      <c r="C310" s="5">
        <v>7</v>
      </c>
      <c r="D310" s="7">
        <v>28.03</v>
      </c>
      <c r="E310" s="7">
        <f>Ventas[[#This Row],[CANTIDAD]]*Ventas[[#This Row],[PRECIO_UNIT]]</f>
        <v>196.21</v>
      </c>
      <c r="F310" s="7">
        <f>Ventas[[#This Row],[SUBTOTAL]]*0.16</f>
        <v>31.393600000000003</v>
      </c>
      <c r="G310" s="7">
        <v>-1.3599999999996726E-2</v>
      </c>
      <c r="H310" s="7">
        <f>Ventas[[#This Row],[SUBTOTAL]]+Ventas[[#This Row],[IVA]]+Ventas[[#This Row],[DESCUENTO/EXTRA]]</f>
        <v>227.59</v>
      </c>
      <c r="I310" t="s">
        <v>23</v>
      </c>
      <c r="J310" t="s">
        <v>44</v>
      </c>
      <c r="K310" t="s">
        <v>15</v>
      </c>
      <c r="L310" t="s">
        <v>16</v>
      </c>
    </row>
    <row r="311" spans="1:12">
      <c r="A311" s="3">
        <v>45244</v>
      </c>
      <c r="B311" t="s">
        <v>20</v>
      </c>
      <c r="C311" s="5">
        <v>20</v>
      </c>
      <c r="D311" s="7">
        <v>10</v>
      </c>
      <c r="E311" s="7">
        <f>Ventas[[#This Row],[CANTIDAD]]*Ventas[[#This Row],[PRECIO_UNIT]]</f>
        <v>200</v>
      </c>
      <c r="F311" s="7">
        <f>Ventas[[#This Row],[SUBTOTAL]]*0.16</f>
        <v>32</v>
      </c>
      <c r="G311" s="7">
        <v>22.889999999999986</v>
      </c>
      <c r="H311" s="7">
        <f>Ventas[[#This Row],[SUBTOTAL]]+Ventas[[#This Row],[IVA]]+Ventas[[#This Row],[DESCUENTO/EXTRA]]</f>
        <v>254.89</v>
      </c>
      <c r="I311" t="s">
        <v>32</v>
      </c>
      <c r="J311" t="s">
        <v>21</v>
      </c>
      <c r="K311" t="s">
        <v>15</v>
      </c>
      <c r="L311" t="s">
        <v>16</v>
      </c>
    </row>
    <row r="312" spans="1:12">
      <c r="A312" s="3">
        <v>45244</v>
      </c>
      <c r="B312" t="s">
        <v>40</v>
      </c>
      <c r="C312" s="5">
        <v>20</v>
      </c>
      <c r="D312" s="7">
        <v>31.94</v>
      </c>
      <c r="E312" s="7">
        <f>Ventas[[#This Row],[CANTIDAD]]*Ventas[[#This Row],[PRECIO_UNIT]]</f>
        <v>638.80000000000007</v>
      </c>
      <c r="F312" s="7">
        <f>Ventas[[#This Row],[SUBTOTAL]]*0.16</f>
        <v>102.20800000000001</v>
      </c>
      <c r="G312" s="7">
        <v>0.11199999999996635</v>
      </c>
      <c r="H312" s="7">
        <f>Ventas[[#This Row],[SUBTOTAL]]+Ventas[[#This Row],[IVA]]+Ventas[[#This Row],[DESCUENTO/EXTRA]]</f>
        <v>741.12</v>
      </c>
      <c r="I312" t="s">
        <v>18</v>
      </c>
      <c r="J312" t="s">
        <v>47</v>
      </c>
      <c r="K312" t="s">
        <v>25</v>
      </c>
      <c r="L312" t="s">
        <v>16</v>
      </c>
    </row>
    <row r="313" spans="1:12">
      <c r="A313" s="3">
        <v>45245</v>
      </c>
      <c r="B313" t="s">
        <v>35</v>
      </c>
      <c r="C313" s="5">
        <v>30</v>
      </c>
      <c r="D313" s="7">
        <v>26.4</v>
      </c>
      <c r="E313" s="7">
        <f>Ventas[[#This Row],[CANTIDAD]]*Ventas[[#This Row],[PRECIO_UNIT]]</f>
        <v>792</v>
      </c>
      <c r="F313" s="7">
        <f>Ventas[[#This Row],[SUBTOTAL]]*0.16</f>
        <v>126.72</v>
      </c>
      <c r="G313" s="7">
        <v>0.16999999999995907</v>
      </c>
      <c r="H313" s="7">
        <f>Ventas[[#This Row],[SUBTOTAL]]+Ventas[[#This Row],[IVA]]+Ventas[[#This Row],[DESCUENTO/EXTRA]]</f>
        <v>918.89</v>
      </c>
      <c r="I313" t="s">
        <v>13</v>
      </c>
      <c r="J313" t="s">
        <v>55</v>
      </c>
      <c r="K313" t="s">
        <v>25</v>
      </c>
      <c r="L313" t="s">
        <v>16</v>
      </c>
    </row>
    <row r="314" spans="1:12">
      <c r="A314" s="3">
        <v>45246</v>
      </c>
      <c r="B314" t="s">
        <v>40</v>
      </c>
      <c r="C314" s="5">
        <v>11</v>
      </c>
      <c r="D314" s="7">
        <v>32</v>
      </c>
      <c r="E314" s="7">
        <f>Ventas[[#This Row],[CANTIDAD]]*Ventas[[#This Row],[PRECIO_UNIT]]</f>
        <v>352</v>
      </c>
      <c r="F314" s="7">
        <f>Ventas[[#This Row],[SUBTOTAL]]*0.16</f>
        <v>56.32</v>
      </c>
      <c r="G314" s="7">
        <v>1.6800000000000068</v>
      </c>
      <c r="H314" s="7">
        <f>Ventas[[#This Row],[SUBTOTAL]]+Ventas[[#This Row],[IVA]]+Ventas[[#This Row],[DESCUENTO/EXTRA]]</f>
        <v>410</v>
      </c>
      <c r="I314" t="s">
        <v>18</v>
      </c>
      <c r="J314" t="s">
        <v>33</v>
      </c>
      <c r="K314" t="s">
        <v>25</v>
      </c>
      <c r="L314" t="s">
        <v>16</v>
      </c>
    </row>
    <row r="315" spans="1:12">
      <c r="A315" s="3">
        <v>45246</v>
      </c>
      <c r="B315" t="s">
        <v>20</v>
      </c>
      <c r="C315" s="5">
        <v>18</v>
      </c>
      <c r="D315" s="7">
        <v>12.33</v>
      </c>
      <c r="E315" s="7">
        <f>Ventas[[#This Row],[CANTIDAD]]*Ventas[[#This Row],[PRECIO_UNIT]]</f>
        <v>221.94</v>
      </c>
      <c r="F315" s="7">
        <f>Ventas[[#This Row],[SUBTOTAL]]*0.16</f>
        <v>35.510399999999997</v>
      </c>
      <c r="G315" s="7">
        <v>-3.0399999999985994E-2</v>
      </c>
      <c r="H315" s="7">
        <f>Ventas[[#This Row],[SUBTOTAL]]+Ventas[[#This Row],[IVA]]+Ventas[[#This Row],[DESCUENTO/EXTRA]]</f>
        <v>257.42</v>
      </c>
      <c r="I315" t="s">
        <v>18</v>
      </c>
      <c r="J315" t="s">
        <v>34</v>
      </c>
      <c r="K315" t="s">
        <v>15</v>
      </c>
      <c r="L315" t="s">
        <v>16</v>
      </c>
    </row>
    <row r="316" spans="1:12">
      <c r="A316" s="3">
        <v>45246</v>
      </c>
      <c r="B316" t="s">
        <v>20</v>
      </c>
      <c r="C316" s="5">
        <v>30</v>
      </c>
      <c r="D316" s="7">
        <v>12</v>
      </c>
      <c r="E316" s="7">
        <f>Ventas[[#This Row],[CANTIDAD]]*Ventas[[#This Row],[PRECIO_UNIT]]</f>
        <v>360</v>
      </c>
      <c r="F316" s="7">
        <f>Ventas[[#This Row],[SUBTOTAL]]*0.16</f>
        <v>57.6</v>
      </c>
      <c r="G316" s="7">
        <v>16.399999999999977</v>
      </c>
      <c r="H316" s="7">
        <f>Ventas[[#This Row],[SUBTOTAL]]+Ventas[[#This Row],[IVA]]+Ventas[[#This Row],[DESCUENTO/EXTRA]]</f>
        <v>434</v>
      </c>
      <c r="I316" t="s">
        <v>41</v>
      </c>
      <c r="J316" t="s">
        <v>36</v>
      </c>
      <c r="K316" t="s">
        <v>25</v>
      </c>
      <c r="L316" t="s">
        <v>16</v>
      </c>
    </row>
    <row r="317" spans="1:12">
      <c r="A317" s="3">
        <v>45247</v>
      </c>
      <c r="B317" t="s">
        <v>28</v>
      </c>
      <c r="C317" s="5">
        <v>21</v>
      </c>
      <c r="D317" s="7">
        <v>78</v>
      </c>
      <c r="E317" s="7">
        <f>Ventas[[#This Row],[CANTIDAD]]*Ventas[[#This Row],[PRECIO_UNIT]]</f>
        <v>1638</v>
      </c>
      <c r="F317" s="7">
        <f>Ventas[[#This Row],[SUBTOTAL]]*0.16</f>
        <v>262.08</v>
      </c>
      <c r="G317" s="7">
        <v>-6.0799999999999272</v>
      </c>
      <c r="H317" s="7">
        <f>Ventas[[#This Row],[SUBTOTAL]]+Ventas[[#This Row],[IVA]]+Ventas[[#This Row],[DESCUENTO/EXTRA]]</f>
        <v>1894</v>
      </c>
      <c r="I317" t="s">
        <v>23</v>
      </c>
      <c r="J317" t="s">
        <v>50</v>
      </c>
      <c r="K317" t="s">
        <v>15</v>
      </c>
      <c r="L317" t="s">
        <v>16</v>
      </c>
    </row>
    <row r="318" spans="1:12">
      <c r="A318" s="3">
        <v>45249</v>
      </c>
      <c r="B318" t="s">
        <v>37</v>
      </c>
      <c r="C318" s="5">
        <v>13</v>
      </c>
      <c r="D318" s="7">
        <v>23.83</v>
      </c>
      <c r="E318" s="7">
        <f>Ventas[[#This Row],[CANTIDAD]]*Ventas[[#This Row],[PRECIO_UNIT]]</f>
        <v>309.78999999999996</v>
      </c>
      <c r="F318" s="7">
        <f>Ventas[[#This Row],[SUBTOTAL]]*0.16</f>
        <v>49.566399999999994</v>
      </c>
      <c r="G318" s="7">
        <v>-4.6399999999948704E-2</v>
      </c>
      <c r="H318" s="7">
        <f>Ventas[[#This Row],[SUBTOTAL]]+Ventas[[#This Row],[IVA]]+Ventas[[#This Row],[DESCUENTO/EXTRA]]</f>
        <v>359.31</v>
      </c>
      <c r="I318" t="s">
        <v>18</v>
      </c>
      <c r="J318" t="s">
        <v>48</v>
      </c>
      <c r="K318" t="s">
        <v>15</v>
      </c>
      <c r="L318" t="s">
        <v>16</v>
      </c>
    </row>
    <row r="319" spans="1:12">
      <c r="A319" s="3">
        <v>45249</v>
      </c>
      <c r="B319" t="s">
        <v>45</v>
      </c>
      <c r="C319" s="5">
        <v>22</v>
      </c>
      <c r="D319" s="7">
        <v>45.83</v>
      </c>
      <c r="E319" s="7">
        <f>Ventas[[#This Row],[CANTIDAD]]*Ventas[[#This Row],[PRECIO_UNIT]]</f>
        <v>1008.26</v>
      </c>
      <c r="F319" s="7">
        <f>Ventas[[#This Row],[SUBTOTAL]]*0.16</f>
        <v>161.32159999999999</v>
      </c>
      <c r="G319" s="7">
        <v>-9.159999999997126E-2</v>
      </c>
      <c r="H319" s="7">
        <f>Ventas[[#This Row],[SUBTOTAL]]+Ventas[[#This Row],[IVA]]+Ventas[[#This Row],[DESCUENTO/EXTRA]]</f>
        <v>1169.49</v>
      </c>
      <c r="I319" t="s">
        <v>23</v>
      </c>
      <c r="J319" t="s">
        <v>30</v>
      </c>
      <c r="K319" t="s">
        <v>15</v>
      </c>
      <c r="L319" t="s">
        <v>16</v>
      </c>
    </row>
    <row r="320" spans="1:12">
      <c r="A320" s="3">
        <v>45250</v>
      </c>
      <c r="B320" t="s">
        <v>46</v>
      </c>
      <c r="C320" s="5">
        <v>15</v>
      </c>
      <c r="D320" s="7">
        <v>26.58</v>
      </c>
      <c r="E320" s="7">
        <f>Ventas[[#This Row],[CANTIDAD]]*Ventas[[#This Row],[PRECIO_UNIT]]</f>
        <v>398.7</v>
      </c>
      <c r="F320" s="7">
        <f>Ventas[[#This Row],[SUBTOTAL]]*0.16</f>
        <v>63.792000000000002</v>
      </c>
      <c r="G320" s="7">
        <v>-0.4919999999999618</v>
      </c>
      <c r="H320" s="7">
        <f>Ventas[[#This Row],[SUBTOTAL]]+Ventas[[#This Row],[IVA]]+Ventas[[#This Row],[DESCUENTO/EXTRA]]</f>
        <v>462</v>
      </c>
      <c r="I320" t="s">
        <v>23</v>
      </c>
      <c r="J320" t="s">
        <v>51</v>
      </c>
      <c r="K320" t="s">
        <v>15</v>
      </c>
      <c r="L320" t="s">
        <v>16</v>
      </c>
    </row>
    <row r="321" spans="1:12">
      <c r="A321" s="3">
        <v>45251</v>
      </c>
      <c r="B321" t="s">
        <v>40</v>
      </c>
      <c r="C321" s="5">
        <v>22</v>
      </c>
      <c r="D321" s="7">
        <v>32.14</v>
      </c>
      <c r="E321" s="7">
        <f>Ventas[[#This Row],[CANTIDAD]]*Ventas[[#This Row],[PRECIO_UNIT]]</f>
        <v>707.08</v>
      </c>
      <c r="F321" s="7">
        <f>Ventas[[#This Row],[SUBTOTAL]]*0.16</f>
        <v>113.1328</v>
      </c>
      <c r="G321" s="7">
        <v>-5.2800000000047476E-2</v>
      </c>
      <c r="H321" s="7">
        <f>Ventas[[#This Row],[SUBTOTAL]]+Ventas[[#This Row],[IVA]]+Ventas[[#This Row],[DESCUENTO/EXTRA]]</f>
        <v>820.16</v>
      </c>
      <c r="I321" t="s">
        <v>32</v>
      </c>
      <c r="J321" t="s">
        <v>38</v>
      </c>
      <c r="K321" t="s">
        <v>15</v>
      </c>
      <c r="L321" t="s">
        <v>16</v>
      </c>
    </row>
    <row r="322" spans="1:12">
      <c r="A322" s="3">
        <v>45251</v>
      </c>
      <c r="B322" t="s">
        <v>40</v>
      </c>
      <c r="C322" s="5">
        <v>27</v>
      </c>
      <c r="D322" s="7">
        <v>35.58</v>
      </c>
      <c r="E322" s="7">
        <f>Ventas[[#This Row],[CANTIDAD]]*Ventas[[#This Row],[PRECIO_UNIT]]</f>
        <v>960.66</v>
      </c>
      <c r="F322" s="7">
        <f>Ventas[[#This Row],[SUBTOTAL]]*0.16</f>
        <v>153.7056</v>
      </c>
      <c r="G322" s="7">
        <v>-0.36560000000008586</v>
      </c>
      <c r="H322" s="7">
        <f>Ventas[[#This Row],[SUBTOTAL]]+Ventas[[#This Row],[IVA]]+Ventas[[#This Row],[DESCUENTO/EXTRA]]</f>
        <v>1114</v>
      </c>
      <c r="I322" t="s">
        <v>23</v>
      </c>
      <c r="J322" t="s">
        <v>29</v>
      </c>
      <c r="K322" t="s">
        <v>25</v>
      </c>
      <c r="L322" t="s">
        <v>16</v>
      </c>
    </row>
    <row r="323" spans="1:12">
      <c r="A323" s="3">
        <v>45251</v>
      </c>
      <c r="B323" t="s">
        <v>37</v>
      </c>
      <c r="C323" s="5">
        <v>24</v>
      </c>
      <c r="D323" s="7">
        <v>21.79</v>
      </c>
      <c r="E323" s="7">
        <f>Ventas[[#This Row],[CANTIDAD]]*Ventas[[#This Row],[PRECIO_UNIT]]</f>
        <v>522.96</v>
      </c>
      <c r="F323" s="7">
        <f>Ventas[[#This Row],[SUBTOTAL]]*0.16</f>
        <v>83.673600000000008</v>
      </c>
      <c r="G323" s="7">
        <v>0.36639999999999873</v>
      </c>
      <c r="H323" s="7">
        <f>Ventas[[#This Row],[SUBTOTAL]]+Ventas[[#This Row],[IVA]]+Ventas[[#This Row],[DESCUENTO/EXTRA]]</f>
        <v>607</v>
      </c>
      <c r="I323" t="s">
        <v>41</v>
      </c>
      <c r="J323" t="s">
        <v>27</v>
      </c>
      <c r="K323" t="s">
        <v>25</v>
      </c>
      <c r="L323" t="s">
        <v>16</v>
      </c>
    </row>
    <row r="324" spans="1:12">
      <c r="A324" s="3">
        <v>45252</v>
      </c>
      <c r="B324" t="s">
        <v>45</v>
      </c>
      <c r="C324" s="5">
        <v>22</v>
      </c>
      <c r="D324" s="7">
        <v>46.95</v>
      </c>
      <c r="E324" s="7">
        <f>Ventas[[#This Row],[CANTIDAD]]*Ventas[[#This Row],[PRECIO_UNIT]]</f>
        <v>1032.9000000000001</v>
      </c>
      <c r="F324" s="7">
        <f>Ventas[[#This Row],[SUBTOTAL]]*0.16</f>
        <v>165.26400000000001</v>
      </c>
      <c r="G324" s="7">
        <v>3.5999999999830834E-2</v>
      </c>
      <c r="H324" s="7">
        <f>Ventas[[#This Row],[SUBTOTAL]]+Ventas[[#This Row],[IVA]]+Ventas[[#This Row],[DESCUENTO/EXTRA]]</f>
        <v>1198.2</v>
      </c>
      <c r="I324" t="s">
        <v>18</v>
      </c>
      <c r="J324" t="s">
        <v>49</v>
      </c>
      <c r="K324" t="s">
        <v>15</v>
      </c>
      <c r="L324" t="s">
        <v>16</v>
      </c>
    </row>
    <row r="325" spans="1:12">
      <c r="A325" s="3">
        <v>45253</v>
      </c>
      <c r="B325" t="s">
        <v>37</v>
      </c>
      <c r="C325" s="5">
        <v>14</v>
      </c>
      <c r="D325" s="7">
        <v>22</v>
      </c>
      <c r="E325" s="7">
        <f>Ventas[[#This Row],[CANTIDAD]]*Ventas[[#This Row],[PRECIO_UNIT]]</f>
        <v>308</v>
      </c>
      <c r="F325" s="7">
        <f>Ventas[[#This Row],[SUBTOTAL]]*0.16</f>
        <v>49.28</v>
      </c>
      <c r="G325" s="7">
        <v>-0.27999999999997272</v>
      </c>
      <c r="H325" s="7">
        <f>Ventas[[#This Row],[SUBTOTAL]]+Ventas[[#This Row],[IVA]]+Ventas[[#This Row],[DESCUENTO/EXTRA]]</f>
        <v>357</v>
      </c>
      <c r="I325" t="s">
        <v>18</v>
      </c>
      <c r="J325" t="s">
        <v>42</v>
      </c>
      <c r="K325" t="s">
        <v>15</v>
      </c>
      <c r="L325" t="s">
        <v>16</v>
      </c>
    </row>
    <row r="326" spans="1:12">
      <c r="A326" s="3">
        <v>45253</v>
      </c>
      <c r="B326" t="s">
        <v>20</v>
      </c>
      <c r="C326" s="5">
        <v>11</v>
      </c>
      <c r="D326" s="7">
        <v>12.19</v>
      </c>
      <c r="E326" s="7">
        <f>Ventas[[#This Row],[CANTIDAD]]*Ventas[[#This Row],[PRECIO_UNIT]]</f>
        <v>134.09</v>
      </c>
      <c r="F326" s="7">
        <f>Ventas[[#This Row],[SUBTOTAL]]*0.16</f>
        <v>21.4544</v>
      </c>
      <c r="G326" s="7">
        <v>5.6000000000153705E-3</v>
      </c>
      <c r="H326" s="7">
        <f>Ventas[[#This Row],[SUBTOTAL]]+Ventas[[#This Row],[IVA]]+Ventas[[#This Row],[DESCUENTO/EXTRA]]</f>
        <v>155.55000000000001</v>
      </c>
      <c r="I326" t="s">
        <v>32</v>
      </c>
      <c r="J326" t="s">
        <v>30</v>
      </c>
      <c r="K326" t="s">
        <v>15</v>
      </c>
      <c r="L326" t="s">
        <v>16</v>
      </c>
    </row>
    <row r="327" spans="1:12">
      <c r="A327" s="3">
        <v>45254</v>
      </c>
      <c r="B327" t="s">
        <v>37</v>
      </c>
      <c r="C327" s="5">
        <v>13</v>
      </c>
      <c r="D327" s="7">
        <v>23.25</v>
      </c>
      <c r="E327" s="7">
        <f>Ventas[[#This Row],[CANTIDAD]]*Ventas[[#This Row],[PRECIO_UNIT]]</f>
        <v>302.25</v>
      </c>
      <c r="F327" s="7">
        <f>Ventas[[#This Row],[SUBTOTAL]]*0.16</f>
        <v>48.36</v>
      </c>
      <c r="G327" s="7">
        <v>-9.9999999999909051E-3</v>
      </c>
      <c r="H327" s="7">
        <f>Ventas[[#This Row],[SUBTOTAL]]+Ventas[[#This Row],[IVA]]+Ventas[[#This Row],[DESCUENTO/EXTRA]]</f>
        <v>350.6</v>
      </c>
      <c r="I327" t="s">
        <v>41</v>
      </c>
      <c r="J327" t="s">
        <v>27</v>
      </c>
      <c r="K327" t="s">
        <v>25</v>
      </c>
      <c r="L327" t="s">
        <v>16</v>
      </c>
    </row>
    <row r="328" spans="1:12">
      <c r="A328" s="3">
        <v>45255</v>
      </c>
      <c r="B328" t="s">
        <v>46</v>
      </c>
      <c r="C328" s="5">
        <v>22</v>
      </c>
      <c r="D328" s="7">
        <v>25</v>
      </c>
      <c r="E328" s="7">
        <f>Ventas[[#This Row],[CANTIDAD]]*Ventas[[#This Row],[PRECIO_UNIT]]</f>
        <v>550</v>
      </c>
      <c r="F328" s="7">
        <f>Ventas[[#This Row],[SUBTOTAL]]*0.16</f>
        <v>88</v>
      </c>
      <c r="G328" s="7">
        <v>7.2300000000000182</v>
      </c>
      <c r="H328" s="7">
        <f>Ventas[[#This Row],[SUBTOTAL]]+Ventas[[#This Row],[IVA]]+Ventas[[#This Row],[DESCUENTO/EXTRA]]</f>
        <v>645.23</v>
      </c>
      <c r="I328" t="s">
        <v>23</v>
      </c>
      <c r="J328" t="s">
        <v>30</v>
      </c>
      <c r="K328" t="s">
        <v>15</v>
      </c>
      <c r="L328" t="s">
        <v>16</v>
      </c>
    </row>
    <row r="329" spans="1:12">
      <c r="A329" s="3">
        <v>45256</v>
      </c>
      <c r="B329" t="s">
        <v>43</v>
      </c>
      <c r="C329" s="5">
        <v>12</v>
      </c>
      <c r="D329" s="7">
        <v>27.2</v>
      </c>
      <c r="E329" s="7">
        <f>Ventas[[#This Row],[CANTIDAD]]*Ventas[[#This Row],[PRECIO_UNIT]]</f>
        <v>326.39999999999998</v>
      </c>
      <c r="F329" s="7">
        <f>Ventas[[#This Row],[SUBTOTAL]]*0.16</f>
        <v>52.223999999999997</v>
      </c>
      <c r="G329" s="7">
        <v>1.6000000000019554E-2</v>
      </c>
      <c r="H329" s="7">
        <f>Ventas[[#This Row],[SUBTOTAL]]+Ventas[[#This Row],[IVA]]+Ventas[[#This Row],[DESCUENTO/EXTRA]]</f>
        <v>378.64</v>
      </c>
      <c r="I329" t="s">
        <v>32</v>
      </c>
      <c r="J329" t="s">
        <v>24</v>
      </c>
      <c r="K329" t="s">
        <v>15</v>
      </c>
      <c r="L329" t="s">
        <v>16</v>
      </c>
    </row>
    <row r="330" spans="1:12">
      <c r="A330" s="3">
        <v>45257</v>
      </c>
      <c r="B330" t="s">
        <v>46</v>
      </c>
      <c r="C330" s="5">
        <v>14</v>
      </c>
      <c r="D330" s="7">
        <v>26.8</v>
      </c>
      <c r="E330" s="7">
        <f>Ventas[[#This Row],[CANTIDAD]]*Ventas[[#This Row],[PRECIO_UNIT]]</f>
        <v>375.2</v>
      </c>
      <c r="F330" s="7">
        <f>Ventas[[#This Row],[SUBTOTAL]]*0.16</f>
        <v>60.031999999999996</v>
      </c>
      <c r="G330" s="7">
        <v>-4.199999999997317E-2</v>
      </c>
      <c r="H330" s="7">
        <f>Ventas[[#This Row],[SUBTOTAL]]+Ventas[[#This Row],[IVA]]+Ventas[[#This Row],[DESCUENTO/EXTRA]]</f>
        <v>435.19</v>
      </c>
      <c r="I330" t="s">
        <v>18</v>
      </c>
      <c r="J330" t="s">
        <v>52</v>
      </c>
      <c r="K330" t="s">
        <v>25</v>
      </c>
      <c r="L330" t="s">
        <v>16</v>
      </c>
    </row>
    <row r="331" spans="1:12">
      <c r="A331" s="3">
        <v>45259</v>
      </c>
      <c r="B331" t="s">
        <v>46</v>
      </c>
      <c r="C331" s="5">
        <v>11</v>
      </c>
      <c r="D331" s="7">
        <v>29.37</v>
      </c>
      <c r="E331" s="7">
        <f>Ventas[[#This Row],[CANTIDAD]]*Ventas[[#This Row],[PRECIO_UNIT]]</f>
        <v>323.07</v>
      </c>
      <c r="F331" s="7">
        <f>Ventas[[#This Row],[SUBTOTAL]]*0.16</f>
        <v>51.691200000000002</v>
      </c>
      <c r="G331" s="7">
        <v>3.8800000000037471E-2</v>
      </c>
      <c r="H331" s="7">
        <f>Ventas[[#This Row],[SUBTOTAL]]+Ventas[[#This Row],[IVA]]+Ventas[[#This Row],[DESCUENTO/EXTRA]]</f>
        <v>374.8</v>
      </c>
      <c r="I331" t="s">
        <v>23</v>
      </c>
      <c r="J331" t="s">
        <v>27</v>
      </c>
      <c r="K331" t="s">
        <v>15</v>
      </c>
      <c r="L331" t="s">
        <v>16</v>
      </c>
    </row>
    <row r="332" spans="1:12">
      <c r="A332" s="3">
        <v>45260</v>
      </c>
      <c r="B332" t="s">
        <v>22</v>
      </c>
      <c r="C332" s="5">
        <v>13</v>
      </c>
      <c r="D332" s="7">
        <v>22.25</v>
      </c>
      <c r="E332" s="7">
        <f>Ventas[[#This Row],[CANTIDAD]]*Ventas[[#This Row],[PRECIO_UNIT]]</f>
        <v>289.25</v>
      </c>
      <c r="F332" s="7">
        <f>Ventas[[#This Row],[SUBTOTAL]]*0.16</f>
        <v>46.28</v>
      </c>
      <c r="G332" s="7">
        <v>0.47000000000002728</v>
      </c>
      <c r="H332" s="7">
        <f>Ventas[[#This Row],[SUBTOTAL]]+Ventas[[#This Row],[IVA]]+Ventas[[#This Row],[DESCUENTO/EXTRA]]</f>
        <v>336</v>
      </c>
      <c r="I332" t="s">
        <v>41</v>
      </c>
      <c r="J332" t="s">
        <v>29</v>
      </c>
      <c r="K332" t="s">
        <v>15</v>
      </c>
      <c r="L332" t="s">
        <v>16</v>
      </c>
    </row>
    <row r="333" spans="1:12">
      <c r="A333" s="3">
        <v>45260</v>
      </c>
      <c r="B333" t="s">
        <v>28</v>
      </c>
      <c r="C333" s="5">
        <v>25</v>
      </c>
      <c r="D333" s="7">
        <v>83.85</v>
      </c>
      <c r="E333" s="7">
        <f>Ventas[[#This Row],[CANTIDAD]]*Ventas[[#This Row],[PRECIO_UNIT]]</f>
        <v>2096.25</v>
      </c>
      <c r="F333" s="7">
        <f>Ventas[[#This Row],[SUBTOTAL]]*0.16</f>
        <v>335.40000000000003</v>
      </c>
      <c r="G333" s="7">
        <v>0.34999999999990905</v>
      </c>
      <c r="H333" s="7">
        <f>Ventas[[#This Row],[SUBTOTAL]]+Ventas[[#This Row],[IVA]]+Ventas[[#This Row],[DESCUENTO/EXTRA]]</f>
        <v>2432</v>
      </c>
      <c r="I333" t="s">
        <v>18</v>
      </c>
      <c r="J333" t="s">
        <v>44</v>
      </c>
      <c r="K333" t="s">
        <v>15</v>
      </c>
      <c r="L333" t="s">
        <v>16</v>
      </c>
    </row>
    <row r="334" spans="1:12">
      <c r="A334" s="3">
        <v>45261</v>
      </c>
      <c r="B334" t="s">
        <v>43</v>
      </c>
      <c r="C334" s="5">
        <v>17</v>
      </c>
      <c r="D334" s="7">
        <v>29.24</v>
      </c>
      <c r="E334" s="7">
        <f>Ventas[[#This Row],[CANTIDAD]]*Ventas[[#This Row],[PRECIO_UNIT]]</f>
        <v>497.08</v>
      </c>
      <c r="F334" s="7">
        <f>Ventas[[#This Row],[SUBTOTAL]]*0.16</f>
        <v>79.532799999999995</v>
      </c>
      <c r="G334" s="7">
        <v>0.38720000000000709</v>
      </c>
      <c r="H334" s="7">
        <f>Ventas[[#This Row],[SUBTOTAL]]+Ventas[[#This Row],[IVA]]+Ventas[[#This Row],[DESCUENTO/EXTRA]]</f>
        <v>577</v>
      </c>
      <c r="I334" t="s">
        <v>18</v>
      </c>
      <c r="J334" t="s">
        <v>30</v>
      </c>
      <c r="K334" t="s">
        <v>15</v>
      </c>
      <c r="L334" t="s">
        <v>16</v>
      </c>
    </row>
    <row r="335" spans="1:12">
      <c r="A335" s="3">
        <v>45262</v>
      </c>
      <c r="B335" t="s">
        <v>35</v>
      </c>
      <c r="C335" s="5">
        <v>3</v>
      </c>
      <c r="D335" s="7">
        <v>24.74</v>
      </c>
      <c r="E335" s="7">
        <f>Ventas[[#This Row],[CANTIDAD]]*Ventas[[#This Row],[PRECIO_UNIT]]</f>
        <v>74.22</v>
      </c>
      <c r="F335" s="7">
        <f>Ventas[[#This Row],[SUBTOTAL]]*0.16</f>
        <v>11.8752</v>
      </c>
      <c r="G335" s="7">
        <v>-5.2000000000020918E-3</v>
      </c>
      <c r="H335" s="7">
        <f>Ventas[[#This Row],[SUBTOTAL]]+Ventas[[#This Row],[IVA]]+Ventas[[#This Row],[DESCUENTO/EXTRA]]</f>
        <v>86.09</v>
      </c>
      <c r="I335" t="s">
        <v>18</v>
      </c>
      <c r="J335" t="s">
        <v>19</v>
      </c>
      <c r="K335" t="s">
        <v>15</v>
      </c>
      <c r="L335" t="s">
        <v>16</v>
      </c>
    </row>
    <row r="336" spans="1:12">
      <c r="A336" s="3">
        <v>45262</v>
      </c>
      <c r="B336" t="s">
        <v>12</v>
      </c>
      <c r="C336" s="5">
        <v>22</v>
      </c>
      <c r="D336" s="7">
        <v>57</v>
      </c>
      <c r="E336" s="7">
        <f>Ventas[[#This Row],[CANTIDAD]]*Ventas[[#This Row],[PRECIO_UNIT]]</f>
        <v>1254</v>
      </c>
      <c r="F336" s="7">
        <f>Ventas[[#This Row],[SUBTOTAL]]*0.16</f>
        <v>200.64000000000001</v>
      </c>
      <c r="G336" s="7">
        <v>-6.6400000000001</v>
      </c>
      <c r="H336" s="7">
        <f>Ventas[[#This Row],[SUBTOTAL]]+Ventas[[#This Row],[IVA]]+Ventas[[#This Row],[DESCUENTO/EXTRA]]</f>
        <v>1448</v>
      </c>
      <c r="I336" t="s">
        <v>23</v>
      </c>
      <c r="J336" t="s">
        <v>47</v>
      </c>
      <c r="K336" t="s">
        <v>25</v>
      </c>
      <c r="L336" t="s">
        <v>16</v>
      </c>
    </row>
    <row r="337" spans="1:12">
      <c r="A337" s="3">
        <v>45262</v>
      </c>
      <c r="B337" t="s">
        <v>46</v>
      </c>
      <c r="C337" s="5">
        <v>2</v>
      </c>
      <c r="D337" s="7">
        <v>29</v>
      </c>
      <c r="E337" s="7">
        <f>Ventas[[#This Row],[CANTIDAD]]*Ventas[[#This Row],[PRECIO_UNIT]]</f>
        <v>58</v>
      </c>
      <c r="F337" s="7">
        <f>Ventas[[#This Row],[SUBTOTAL]]*0.16</f>
        <v>9.2799999999999994</v>
      </c>
      <c r="G337" s="7">
        <v>0.71999999999999886</v>
      </c>
      <c r="H337" s="7">
        <f>Ventas[[#This Row],[SUBTOTAL]]+Ventas[[#This Row],[IVA]]+Ventas[[#This Row],[DESCUENTO/EXTRA]]</f>
        <v>68</v>
      </c>
      <c r="I337" t="s">
        <v>18</v>
      </c>
      <c r="J337" t="s">
        <v>21</v>
      </c>
      <c r="K337" t="s">
        <v>15</v>
      </c>
      <c r="L337" t="s">
        <v>16</v>
      </c>
    </row>
    <row r="338" spans="1:12">
      <c r="A338" s="3">
        <v>45262</v>
      </c>
      <c r="B338" t="s">
        <v>28</v>
      </c>
      <c r="C338" s="5">
        <v>29</v>
      </c>
      <c r="D338" s="7">
        <v>75.290000000000006</v>
      </c>
      <c r="E338" s="7">
        <f>Ventas[[#This Row],[CANTIDAD]]*Ventas[[#This Row],[PRECIO_UNIT]]</f>
        <v>2183.4100000000003</v>
      </c>
      <c r="F338" s="7">
        <f>Ventas[[#This Row],[SUBTOTAL]]*0.16</f>
        <v>349.34560000000005</v>
      </c>
      <c r="G338" s="7">
        <v>-0.14560000000028595</v>
      </c>
      <c r="H338" s="7">
        <f>Ventas[[#This Row],[SUBTOTAL]]+Ventas[[#This Row],[IVA]]+Ventas[[#This Row],[DESCUENTO/EXTRA]]</f>
        <v>2532.61</v>
      </c>
      <c r="I338" t="s">
        <v>23</v>
      </c>
      <c r="J338" t="s">
        <v>30</v>
      </c>
      <c r="K338" t="s">
        <v>15</v>
      </c>
      <c r="L338" t="s">
        <v>16</v>
      </c>
    </row>
    <row r="339" spans="1:12">
      <c r="A339" s="3">
        <v>45264</v>
      </c>
      <c r="B339" t="s">
        <v>46</v>
      </c>
      <c r="C339" s="5">
        <v>8</v>
      </c>
      <c r="D339" s="7">
        <v>28.42</v>
      </c>
      <c r="E339" s="7">
        <f>Ventas[[#This Row],[CANTIDAD]]*Ventas[[#This Row],[PRECIO_UNIT]]</f>
        <v>227.36</v>
      </c>
      <c r="F339" s="7">
        <f>Ventas[[#This Row],[SUBTOTAL]]*0.16</f>
        <v>36.377600000000001</v>
      </c>
      <c r="G339" s="7">
        <v>-0.73760000000004311</v>
      </c>
      <c r="H339" s="7">
        <f>Ventas[[#This Row],[SUBTOTAL]]+Ventas[[#This Row],[IVA]]+Ventas[[#This Row],[DESCUENTO/EXTRA]]</f>
        <v>263</v>
      </c>
      <c r="I339" t="s">
        <v>13</v>
      </c>
      <c r="J339" t="s">
        <v>54</v>
      </c>
      <c r="K339" t="s">
        <v>15</v>
      </c>
      <c r="L339" t="s">
        <v>16</v>
      </c>
    </row>
    <row r="340" spans="1:12">
      <c r="A340" s="3">
        <v>45265</v>
      </c>
      <c r="B340" t="s">
        <v>22</v>
      </c>
      <c r="C340" s="5">
        <v>6</v>
      </c>
      <c r="D340" s="7">
        <v>19</v>
      </c>
      <c r="E340" s="7">
        <f>Ventas[[#This Row],[CANTIDAD]]*Ventas[[#This Row],[PRECIO_UNIT]]</f>
        <v>114</v>
      </c>
      <c r="F340" s="7">
        <f>Ventas[[#This Row],[SUBTOTAL]]*0.16</f>
        <v>18.240000000000002</v>
      </c>
      <c r="G340" s="7">
        <v>6.5699999999999932</v>
      </c>
      <c r="H340" s="7">
        <f>Ventas[[#This Row],[SUBTOTAL]]+Ventas[[#This Row],[IVA]]+Ventas[[#This Row],[DESCUENTO/EXTRA]]</f>
        <v>138.81</v>
      </c>
      <c r="I340" t="s">
        <v>23</v>
      </c>
      <c r="J340" t="s">
        <v>21</v>
      </c>
      <c r="K340" t="s">
        <v>15</v>
      </c>
      <c r="L340" t="s">
        <v>16</v>
      </c>
    </row>
    <row r="341" spans="1:12">
      <c r="A341" s="3">
        <v>45265</v>
      </c>
      <c r="B341" t="s">
        <v>37</v>
      </c>
      <c r="C341" s="5">
        <v>6</v>
      </c>
      <c r="D341" s="7">
        <v>22.64</v>
      </c>
      <c r="E341" s="7">
        <f>Ventas[[#This Row],[CANTIDAD]]*Ventas[[#This Row],[PRECIO_UNIT]]</f>
        <v>135.84</v>
      </c>
      <c r="F341" s="7">
        <f>Ventas[[#This Row],[SUBTOTAL]]*0.16</f>
        <v>21.734400000000001</v>
      </c>
      <c r="G341" s="7">
        <v>-2.4399999999985766E-2</v>
      </c>
      <c r="H341" s="7">
        <f>Ventas[[#This Row],[SUBTOTAL]]+Ventas[[#This Row],[IVA]]+Ventas[[#This Row],[DESCUENTO/EXTRA]]</f>
        <v>157.55000000000001</v>
      </c>
      <c r="I341" t="s">
        <v>23</v>
      </c>
      <c r="J341" t="s">
        <v>52</v>
      </c>
      <c r="K341" t="s">
        <v>15</v>
      </c>
      <c r="L341" t="s">
        <v>16</v>
      </c>
    </row>
    <row r="342" spans="1:12">
      <c r="A342" s="3">
        <v>45265</v>
      </c>
      <c r="B342" t="s">
        <v>28</v>
      </c>
      <c r="C342" s="5">
        <v>27</v>
      </c>
      <c r="D342" s="7">
        <v>74.75</v>
      </c>
      <c r="E342" s="7">
        <f>Ventas[[#This Row],[CANTIDAD]]*Ventas[[#This Row],[PRECIO_UNIT]]</f>
        <v>2018.25</v>
      </c>
      <c r="F342" s="7">
        <f>Ventas[[#This Row],[SUBTOTAL]]*0.16</f>
        <v>322.92</v>
      </c>
      <c r="G342" s="7">
        <v>-0.11000000000012733</v>
      </c>
      <c r="H342" s="7">
        <f>Ventas[[#This Row],[SUBTOTAL]]+Ventas[[#This Row],[IVA]]+Ventas[[#This Row],[DESCUENTO/EXTRA]]</f>
        <v>2341.06</v>
      </c>
      <c r="I342" t="s">
        <v>23</v>
      </c>
      <c r="J342" t="s">
        <v>14</v>
      </c>
      <c r="K342" t="s">
        <v>15</v>
      </c>
      <c r="L342" t="s">
        <v>16</v>
      </c>
    </row>
    <row r="343" spans="1:12">
      <c r="A343" s="3">
        <v>45266</v>
      </c>
      <c r="B343" t="s">
        <v>20</v>
      </c>
      <c r="C343" s="5">
        <v>21</v>
      </c>
      <c r="D343" s="7">
        <v>11.92</v>
      </c>
      <c r="E343" s="7">
        <f>Ventas[[#This Row],[CANTIDAD]]*Ventas[[#This Row],[PRECIO_UNIT]]</f>
        <v>250.32</v>
      </c>
      <c r="F343" s="7">
        <f>Ventas[[#This Row],[SUBTOTAL]]*0.16</f>
        <v>40.051200000000001</v>
      </c>
      <c r="G343" s="7">
        <v>-0.37119999999998754</v>
      </c>
      <c r="H343" s="7">
        <f>Ventas[[#This Row],[SUBTOTAL]]+Ventas[[#This Row],[IVA]]+Ventas[[#This Row],[DESCUENTO/EXTRA]]</f>
        <v>290</v>
      </c>
      <c r="I343" t="s">
        <v>18</v>
      </c>
      <c r="J343" t="s">
        <v>27</v>
      </c>
      <c r="K343" t="s">
        <v>25</v>
      </c>
      <c r="L343" t="s">
        <v>16</v>
      </c>
    </row>
    <row r="344" spans="1:12">
      <c r="A344" s="3">
        <v>45268</v>
      </c>
      <c r="B344" t="s">
        <v>28</v>
      </c>
      <c r="C344" s="5">
        <v>16</v>
      </c>
      <c r="D344" s="7">
        <v>84.39</v>
      </c>
      <c r="E344" s="7">
        <f>Ventas[[#This Row],[CANTIDAD]]*Ventas[[#This Row],[PRECIO_UNIT]]</f>
        <v>1350.24</v>
      </c>
      <c r="F344" s="7">
        <f>Ventas[[#This Row],[SUBTOTAL]]*0.16</f>
        <v>216.0384</v>
      </c>
      <c r="G344" s="7">
        <v>-8.3999999999377906E-3</v>
      </c>
      <c r="H344" s="7">
        <f>Ventas[[#This Row],[SUBTOTAL]]+Ventas[[#This Row],[IVA]]+Ventas[[#This Row],[DESCUENTO/EXTRA]]</f>
        <v>1566.27</v>
      </c>
      <c r="I344" t="s">
        <v>23</v>
      </c>
      <c r="J344" t="s">
        <v>52</v>
      </c>
      <c r="K344" t="s">
        <v>15</v>
      </c>
      <c r="L344" t="s">
        <v>16</v>
      </c>
    </row>
    <row r="345" spans="1:12">
      <c r="A345" s="3">
        <v>45268</v>
      </c>
      <c r="B345" t="s">
        <v>37</v>
      </c>
      <c r="C345" s="5">
        <v>22</v>
      </c>
      <c r="D345" s="7">
        <v>24</v>
      </c>
      <c r="E345" s="7">
        <f>Ventas[[#This Row],[CANTIDAD]]*Ventas[[#This Row],[PRECIO_UNIT]]</f>
        <v>528</v>
      </c>
      <c r="F345" s="7">
        <f>Ventas[[#This Row],[SUBTOTAL]]*0.16</f>
        <v>84.48</v>
      </c>
      <c r="G345" s="7">
        <v>18.25</v>
      </c>
      <c r="H345" s="7">
        <f>Ventas[[#This Row],[SUBTOTAL]]+Ventas[[#This Row],[IVA]]+Ventas[[#This Row],[DESCUENTO/EXTRA]]</f>
        <v>630.73</v>
      </c>
      <c r="I345" t="s">
        <v>23</v>
      </c>
      <c r="J345" t="s">
        <v>51</v>
      </c>
      <c r="K345" t="s">
        <v>25</v>
      </c>
      <c r="L345" t="s">
        <v>16</v>
      </c>
    </row>
    <row r="346" spans="1:12">
      <c r="A346" s="3">
        <v>45269</v>
      </c>
      <c r="B346" t="s">
        <v>37</v>
      </c>
      <c r="C346" s="5">
        <v>9</v>
      </c>
      <c r="D346" s="7">
        <v>22.45</v>
      </c>
      <c r="E346" s="7">
        <f>Ventas[[#This Row],[CANTIDAD]]*Ventas[[#This Row],[PRECIO_UNIT]]</f>
        <v>202.04999999999998</v>
      </c>
      <c r="F346" s="7">
        <f>Ventas[[#This Row],[SUBTOTAL]]*0.16</f>
        <v>32.327999999999996</v>
      </c>
      <c r="G346" s="7">
        <v>-3.7999999999982492E-2</v>
      </c>
      <c r="H346" s="7">
        <f>Ventas[[#This Row],[SUBTOTAL]]+Ventas[[#This Row],[IVA]]+Ventas[[#This Row],[DESCUENTO/EXTRA]]</f>
        <v>234.34</v>
      </c>
      <c r="I346" t="s">
        <v>18</v>
      </c>
      <c r="J346" t="s">
        <v>27</v>
      </c>
      <c r="K346" t="s">
        <v>25</v>
      </c>
      <c r="L346" t="s">
        <v>16</v>
      </c>
    </row>
    <row r="347" spans="1:12">
      <c r="A347" s="3">
        <v>45269</v>
      </c>
      <c r="B347" t="s">
        <v>46</v>
      </c>
      <c r="C347" s="5">
        <v>11</v>
      </c>
      <c r="D347" s="7">
        <v>26.9</v>
      </c>
      <c r="E347" s="7">
        <f>Ventas[[#This Row],[CANTIDAD]]*Ventas[[#This Row],[PRECIO_UNIT]]</f>
        <v>295.89999999999998</v>
      </c>
      <c r="F347" s="7">
        <f>Ventas[[#This Row],[SUBTOTAL]]*0.16</f>
        <v>47.343999999999994</v>
      </c>
      <c r="G347" s="7">
        <v>-6.399999999996453E-2</v>
      </c>
      <c r="H347" s="7">
        <f>Ventas[[#This Row],[SUBTOTAL]]+Ventas[[#This Row],[IVA]]+Ventas[[#This Row],[DESCUENTO/EXTRA]]</f>
        <v>343.18</v>
      </c>
      <c r="I347" t="s">
        <v>23</v>
      </c>
      <c r="J347" t="s">
        <v>42</v>
      </c>
      <c r="K347" t="s">
        <v>15</v>
      </c>
      <c r="L347" t="s">
        <v>16</v>
      </c>
    </row>
    <row r="348" spans="1:12">
      <c r="A348" s="3">
        <v>45271</v>
      </c>
      <c r="B348" t="s">
        <v>26</v>
      </c>
      <c r="C348" s="5">
        <v>9</v>
      </c>
      <c r="D348" s="7">
        <v>42.92</v>
      </c>
      <c r="E348" s="7">
        <f>Ventas[[#This Row],[CANTIDAD]]*Ventas[[#This Row],[PRECIO_UNIT]]</f>
        <v>386.28000000000003</v>
      </c>
      <c r="F348" s="7">
        <f>Ventas[[#This Row],[SUBTOTAL]]*0.16</f>
        <v>61.804800000000007</v>
      </c>
      <c r="G348" s="7">
        <v>3.5199999999974807E-2</v>
      </c>
      <c r="H348" s="7">
        <f>Ventas[[#This Row],[SUBTOTAL]]+Ventas[[#This Row],[IVA]]+Ventas[[#This Row],[DESCUENTO/EXTRA]]</f>
        <v>448.12</v>
      </c>
      <c r="I348" t="s">
        <v>23</v>
      </c>
      <c r="J348" t="s">
        <v>38</v>
      </c>
      <c r="K348" t="s">
        <v>15</v>
      </c>
      <c r="L348" t="s">
        <v>16</v>
      </c>
    </row>
    <row r="349" spans="1:12">
      <c r="A349" s="3">
        <v>45272</v>
      </c>
      <c r="B349" t="s">
        <v>40</v>
      </c>
      <c r="C349" s="5">
        <v>9</v>
      </c>
      <c r="D349" s="7">
        <v>31</v>
      </c>
      <c r="E349" s="7">
        <f>Ventas[[#This Row],[CANTIDAD]]*Ventas[[#This Row],[PRECIO_UNIT]]</f>
        <v>279</v>
      </c>
      <c r="F349" s="7">
        <f>Ventas[[#This Row],[SUBTOTAL]]*0.16</f>
        <v>44.64</v>
      </c>
      <c r="G349" s="7">
        <v>-3.9199999999999591</v>
      </c>
      <c r="H349" s="7">
        <f>Ventas[[#This Row],[SUBTOTAL]]+Ventas[[#This Row],[IVA]]+Ventas[[#This Row],[DESCUENTO/EXTRA]]</f>
        <v>319.72000000000003</v>
      </c>
      <c r="I349" t="s">
        <v>23</v>
      </c>
      <c r="J349" t="s">
        <v>52</v>
      </c>
      <c r="K349" t="s">
        <v>25</v>
      </c>
      <c r="L349" t="s">
        <v>16</v>
      </c>
    </row>
    <row r="350" spans="1:12">
      <c r="A350" s="3">
        <v>45275</v>
      </c>
      <c r="B350" t="s">
        <v>40</v>
      </c>
      <c r="C350" s="5">
        <v>12</v>
      </c>
      <c r="D350" s="7">
        <v>32</v>
      </c>
      <c r="E350" s="7">
        <f>Ventas[[#This Row],[CANTIDAD]]*Ventas[[#This Row],[PRECIO_UNIT]]</f>
        <v>384</v>
      </c>
      <c r="F350" s="7">
        <f>Ventas[[#This Row],[SUBTOTAL]]*0.16</f>
        <v>61.44</v>
      </c>
      <c r="G350" s="7">
        <v>0.56000000000000227</v>
      </c>
      <c r="H350" s="7">
        <f>Ventas[[#This Row],[SUBTOTAL]]+Ventas[[#This Row],[IVA]]+Ventas[[#This Row],[DESCUENTO/EXTRA]]</f>
        <v>446</v>
      </c>
      <c r="I350" t="s">
        <v>18</v>
      </c>
      <c r="J350" t="s">
        <v>50</v>
      </c>
      <c r="K350" t="s">
        <v>25</v>
      </c>
      <c r="L350" t="s">
        <v>16</v>
      </c>
    </row>
    <row r="351" spans="1:12">
      <c r="A351" s="3">
        <v>45278</v>
      </c>
      <c r="B351" t="s">
        <v>37</v>
      </c>
      <c r="C351" s="5">
        <v>29</v>
      </c>
      <c r="D351" s="7">
        <v>23.45</v>
      </c>
      <c r="E351" s="7">
        <f>Ventas[[#This Row],[CANTIDAD]]*Ventas[[#This Row],[PRECIO_UNIT]]</f>
        <v>680.05</v>
      </c>
      <c r="F351" s="7">
        <f>Ventas[[#This Row],[SUBTOTAL]]*0.16</f>
        <v>108.80799999999999</v>
      </c>
      <c r="G351" s="7">
        <v>-2.7999999999906322E-2</v>
      </c>
      <c r="H351" s="7">
        <f>Ventas[[#This Row],[SUBTOTAL]]+Ventas[[#This Row],[IVA]]+Ventas[[#This Row],[DESCUENTO/EXTRA]]</f>
        <v>788.83</v>
      </c>
      <c r="I351" t="s">
        <v>18</v>
      </c>
      <c r="J351" t="s">
        <v>47</v>
      </c>
      <c r="K351" t="s">
        <v>15</v>
      </c>
      <c r="L351" t="s">
        <v>16</v>
      </c>
    </row>
    <row r="352" spans="1:12">
      <c r="A352" s="3">
        <v>45278</v>
      </c>
      <c r="B352" t="s">
        <v>46</v>
      </c>
      <c r="C352" s="5">
        <v>27</v>
      </c>
      <c r="D352" s="7">
        <v>28.93</v>
      </c>
      <c r="E352" s="7">
        <f>Ventas[[#This Row],[CANTIDAD]]*Ventas[[#This Row],[PRECIO_UNIT]]</f>
        <v>781.11</v>
      </c>
      <c r="F352" s="7">
        <f>Ventas[[#This Row],[SUBTOTAL]]*0.16</f>
        <v>124.97760000000001</v>
      </c>
      <c r="G352" s="7">
        <v>-8.7600000000065847E-2</v>
      </c>
      <c r="H352" s="7">
        <f>Ventas[[#This Row],[SUBTOTAL]]+Ventas[[#This Row],[IVA]]+Ventas[[#This Row],[DESCUENTO/EXTRA]]</f>
        <v>906</v>
      </c>
      <c r="I352" t="s">
        <v>18</v>
      </c>
      <c r="J352" t="s">
        <v>39</v>
      </c>
      <c r="K352" t="s">
        <v>15</v>
      </c>
      <c r="L352" t="s">
        <v>16</v>
      </c>
    </row>
    <row r="353" spans="1:12">
      <c r="A353" s="3">
        <v>45279</v>
      </c>
      <c r="B353" t="s">
        <v>12</v>
      </c>
      <c r="C353" s="5">
        <v>26</v>
      </c>
      <c r="D353" s="7">
        <v>56.9</v>
      </c>
      <c r="E353" s="7">
        <f>Ventas[[#This Row],[CANTIDAD]]*Ventas[[#This Row],[PRECIO_UNIT]]</f>
        <v>1479.3999999999999</v>
      </c>
      <c r="F353" s="7">
        <f>Ventas[[#This Row],[SUBTOTAL]]*0.16</f>
        <v>236.70399999999998</v>
      </c>
      <c r="G353" s="7">
        <v>-0.14399999999977808</v>
      </c>
      <c r="H353" s="7">
        <f>Ventas[[#This Row],[SUBTOTAL]]+Ventas[[#This Row],[IVA]]+Ventas[[#This Row],[DESCUENTO/EXTRA]]</f>
        <v>1715.96</v>
      </c>
      <c r="I353" t="s">
        <v>23</v>
      </c>
      <c r="J353" t="s">
        <v>33</v>
      </c>
      <c r="K353" t="s">
        <v>15</v>
      </c>
      <c r="L353" t="s">
        <v>16</v>
      </c>
    </row>
    <row r="354" spans="1:12">
      <c r="A354" s="3">
        <v>45279</v>
      </c>
      <c r="B354" t="s">
        <v>20</v>
      </c>
      <c r="C354" s="5">
        <v>17</v>
      </c>
      <c r="D354" s="7">
        <v>11.64</v>
      </c>
      <c r="E354" s="7">
        <f>Ventas[[#This Row],[CANTIDAD]]*Ventas[[#This Row],[PRECIO_UNIT]]</f>
        <v>197.88</v>
      </c>
      <c r="F354" s="7">
        <f>Ventas[[#This Row],[SUBTOTAL]]*0.16</f>
        <v>31.660799999999998</v>
      </c>
      <c r="G354" s="7">
        <v>-9.0800000000001546E-2</v>
      </c>
      <c r="H354" s="7">
        <f>Ventas[[#This Row],[SUBTOTAL]]+Ventas[[#This Row],[IVA]]+Ventas[[#This Row],[DESCUENTO/EXTRA]]</f>
        <v>229.45</v>
      </c>
      <c r="I354" t="s">
        <v>18</v>
      </c>
      <c r="J354" t="s">
        <v>54</v>
      </c>
      <c r="K354" t="s">
        <v>25</v>
      </c>
      <c r="L354" t="s">
        <v>16</v>
      </c>
    </row>
    <row r="355" spans="1:12">
      <c r="A355" s="3">
        <v>45280</v>
      </c>
      <c r="B355" t="s">
        <v>35</v>
      </c>
      <c r="C355" s="5">
        <v>26</v>
      </c>
      <c r="D355" s="7">
        <v>24.61</v>
      </c>
      <c r="E355" s="7">
        <f>Ventas[[#This Row],[CANTIDAD]]*Ventas[[#This Row],[PRECIO_UNIT]]</f>
        <v>639.86</v>
      </c>
      <c r="F355" s="7">
        <f>Ventas[[#This Row],[SUBTOTAL]]*0.16</f>
        <v>102.3776</v>
      </c>
      <c r="G355" s="7">
        <v>4.2399999999929605E-2</v>
      </c>
      <c r="H355" s="7">
        <f>Ventas[[#This Row],[SUBTOTAL]]+Ventas[[#This Row],[IVA]]+Ventas[[#This Row],[DESCUENTO/EXTRA]]</f>
        <v>742.28</v>
      </c>
      <c r="I355" t="s">
        <v>18</v>
      </c>
      <c r="J355" t="s">
        <v>21</v>
      </c>
      <c r="K355" t="s">
        <v>25</v>
      </c>
      <c r="L355" t="s">
        <v>16</v>
      </c>
    </row>
    <row r="356" spans="1:12">
      <c r="A356" s="3">
        <v>45281</v>
      </c>
      <c r="B356" t="s">
        <v>35</v>
      </c>
      <c r="C356" s="5">
        <v>1</v>
      </c>
      <c r="D356" s="7">
        <v>26.96</v>
      </c>
      <c r="E356" s="7">
        <f>Ventas[[#This Row],[CANTIDAD]]*Ventas[[#This Row],[PRECIO_UNIT]]</f>
        <v>26.96</v>
      </c>
      <c r="F356" s="7">
        <f>Ventas[[#This Row],[SUBTOTAL]]*0.16</f>
        <v>4.3136000000000001</v>
      </c>
      <c r="G356" s="7">
        <v>6.3999999999992951E-3</v>
      </c>
      <c r="H356" s="7">
        <f>Ventas[[#This Row],[SUBTOTAL]]+Ventas[[#This Row],[IVA]]+Ventas[[#This Row],[DESCUENTO/EXTRA]]</f>
        <v>31.28</v>
      </c>
      <c r="I356" t="s">
        <v>41</v>
      </c>
      <c r="J356" t="s">
        <v>51</v>
      </c>
      <c r="K356" t="s">
        <v>15</v>
      </c>
      <c r="L356" t="s">
        <v>16</v>
      </c>
    </row>
    <row r="357" spans="1:12">
      <c r="A357" s="3">
        <v>45281</v>
      </c>
      <c r="B357" t="s">
        <v>35</v>
      </c>
      <c r="C357" s="5">
        <v>18</v>
      </c>
      <c r="D357" s="7">
        <v>25.7</v>
      </c>
      <c r="E357" s="7">
        <f>Ventas[[#This Row],[CANTIDAD]]*Ventas[[#This Row],[PRECIO_UNIT]]</f>
        <v>462.59999999999997</v>
      </c>
      <c r="F357" s="7">
        <f>Ventas[[#This Row],[SUBTOTAL]]*0.16</f>
        <v>74.015999999999991</v>
      </c>
      <c r="G357" s="7">
        <v>3.3999999999991815E-2</v>
      </c>
      <c r="H357" s="7">
        <f>Ventas[[#This Row],[SUBTOTAL]]+Ventas[[#This Row],[IVA]]+Ventas[[#This Row],[DESCUENTO/EXTRA]]</f>
        <v>536.65</v>
      </c>
      <c r="I357" t="s">
        <v>23</v>
      </c>
      <c r="J357" t="s">
        <v>51</v>
      </c>
      <c r="K357" t="s">
        <v>25</v>
      </c>
      <c r="L357" t="s">
        <v>16</v>
      </c>
    </row>
    <row r="358" spans="1:12">
      <c r="A358" s="3">
        <v>45282</v>
      </c>
      <c r="B358" t="s">
        <v>45</v>
      </c>
      <c r="C358" s="5">
        <v>13</v>
      </c>
      <c r="D358" s="7">
        <v>44</v>
      </c>
      <c r="E358" s="7">
        <f>Ventas[[#This Row],[CANTIDAD]]*Ventas[[#This Row],[PRECIO_UNIT]]</f>
        <v>572</v>
      </c>
      <c r="F358" s="7">
        <f>Ventas[[#This Row],[SUBTOTAL]]*0.16</f>
        <v>91.52</v>
      </c>
      <c r="G358" s="7">
        <v>-2</v>
      </c>
      <c r="H358" s="7">
        <f>Ventas[[#This Row],[SUBTOTAL]]+Ventas[[#This Row],[IVA]]+Ventas[[#This Row],[DESCUENTO/EXTRA]]</f>
        <v>661.52</v>
      </c>
      <c r="I358" t="s">
        <v>18</v>
      </c>
      <c r="J358" t="s">
        <v>39</v>
      </c>
      <c r="K358" t="s">
        <v>15</v>
      </c>
      <c r="L358" t="s">
        <v>16</v>
      </c>
    </row>
    <row r="359" spans="1:12">
      <c r="A359" s="3">
        <v>45282</v>
      </c>
      <c r="B359" t="s">
        <v>35</v>
      </c>
      <c r="C359" s="5">
        <v>7</v>
      </c>
      <c r="D359" s="7">
        <v>25</v>
      </c>
      <c r="E359" s="7">
        <f>Ventas[[#This Row],[CANTIDAD]]*Ventas[[#This Row],[PRECIO_UNIT]]</f>
        <v>175</v>
      </c>
      <c r="F359" s="7">
        <f>Ventas[[#This Row],[SUBTOTAL]]*0.16</f>
        <v>28</v>
      </c>
      <c r="G359" s="7">
        <v>3.6500000000000057</v>
      </c>
      <c r="H359" s="7">
        <f>Ventas[[#This Row],[SUBTOTAL]]+Ventas[[#This Row],[IVA]]+Ventas[[#This Row],[DESCUENTO/EXTRA]]</f>
        <v>206.65</v>
      </c>
      <c r="I359" t="s">
        <v>18</v>
      </c>
      <c r="J359" t="s">
        <v>33</v>
      </c>
      <c r="K359" t="s">
        <v>15</v>
      </c>
      <c r="L359" t="s">
        <v>16</v>
      </c>
    </row>
    <row r="360" spans="1:12">
      <c r="A360" s="3">
        <v>45282</v>
      </c>
      <c r="B360" t="s">
        <v>20</v>
      </c>
      <c r="C360" s="5">
        <v>10</v>
      </c>
      <c r="D360" s="7">
        <v>11</v>
      </c>
      <c r="E360" s="7">
        <f>Ventas[[#This Row],[CANTIDAD]]*Ventas[[#This Row],[PRECIO_UNIT]]</f>
        <v>110</v>
      </c>
      <c r="F360" s="7">
        <f>Ventas[[#This Row],[SUBTOTAL]]*0.16</f>
        <v>17.600000000000001</v>
      </c>
      <c r="G360" s="7">
        <v>8.5200000000000102</v>
      </c>
      <c r="H360" s="7">
        <f>Ventas[[#This Row],[SUBTOTAL]]+Ventas[[#This Row],[IVA]]+Ventas[[#This Row],[DESCUENTO/EXTRA]]</f>
        <v>136.12</v>
      </c>
      <c r="I360" t="s">
        <v>23</v>
      </c>
      <c r="J360" t="s">
        <v>55</v>
      </c>
      <c r="K360" t="s">
        <v>25</v>
      </c>
      <c r="L360" t="s">
        <v>16</v>
      </c>
    </row>
    <row r="361" spans="1:12">
      <c r="A361" s="3">
        <v>45283</v>
      </c>
      <c r="B361" t="s">
        <v>46</v>
      </c>
      <c r="C361" s="5">
        <v>19</v>
      </c>
      <c r="D361" s="7">
        <v>26</v>
      </c>
      <c r="E361" s="7">
        <f>Ventas[[#This Row],[CANTIDAD]]*Ventas[[#This Row],[PRECIO_UNIT]]</f>
        <v>494</v>
      </c>
      <c r="F361" s="7">
        <f>Ventas[[#This Row],[SUBTOTAL]]*0.16</f>
        <v>79.040000000000006</v>
      </c>
      <c r="G361" s="7">
        <v>-1.8399999999999181</v>
      </c>
      <c r="H361" s="7">
        <f>Ventas[[#This Row],[SUBTOTAL]]+Ventas[[#This Row],[IVA]]+Ventas[[#This Row],[DESCUENTO/EXTRA]]</f>
        <v>571.20000000000005</v>
      </c>
      <c r="I361" t="s">
        <v>18</v>
      </c>
      <c r="J361" t="s">
        <v>33</v>
      </c>
      <c r="K361" t="s">
        <v>15</v>
      </c>
      <c r="L361" t="s">
        <v>16</v>
      </c>
    </row>
    <row r="362" spans="1:12">
      <c r="A362" s="3">
        <v>45285</v>
      </c>
      <c r="B362" t="s">
        <v>43</v>
      </c>
      <c r="C362" s="5">
        <v>4</v>
      </c>
      <c r="D362" s="7">
        <v>29</v>
      </c>
      <c r="E362" s="7">
        <f>Ventas[[#This Row],[CANTIDAD]]*Ventas[[#This Row],[PRECIO_UNIT]]</f>
        <v>116</v>
      </c>
      <c r="F362" s="7">
        <f>Ventas[[#This Row],[SUBTOTAL]]*0.16</f>
        <v>18.559999999999999</v>
      </c>
      <c r="G362" s="7">
        <v>1.9799999999999898</v>
      </c>
      <c r="H362" s="7">
        <f>Ventas[[#This Row],[SUBTOTAL]]+Ventas[[#This Row],[IVA]]+Ventas[[#This Row],[DESCUENTO/EXTRA]]</f>
        <v>136.54</v>
      </c>
      <c r="I362" t="s">
        <v>18</v>
      </c>
      <c r="J362" t="s">
        <v>51</v>
      </c>
      <c r="K362" t="s">
        <v>15</v>
      </c>
      <c r="L362" t="s">
        <v>16</v>
      </c>
    </row>
    <row r="363" spans="1:12">
      <c r="A363" s="3">
        <v>45285</v>
      </c>
      <c r="B363" t="s">
        <v>40</v>
      </c>
      <c r="C363" s="5">
        <v>23</v>
      </c>
      <c r="D363" s="7">
        <v>35.130000000000003</v>
      </c>
      <c r="E363" s="7">
        <f>Ventas[[#This Row],[CANTIDAD]]*Ventas[[#This Row],[PRECIO_UNIT]]</f>
        <v>807.99</v>
      </c>
      <c r="F363" s="7">
        <f>Ventas[[#This Row],[SUBTOTAL]]*0.16</f>
        <v>129.2784</v>
      </c>
      <c r="G363" s="7">
        <v>-0.26840000000004238</v>
      </c>
      <c r="H363" s="7">
        <f>Ventas[[#This Row],[SUBTOTAL]]+Ventas[[#This Row],[IVA]]+Ventas[[#This Row],[DESCUENTO/EXTRA]]</f>
        <v>937</v>
      </c>
      <c r="I363" t="s">
        <v>13</v>
      </c>
      <c r="J363" t="s">
        <v>21</v>
      </c>
      <c r="K363" t="s">
        <v>25</v>
      </c>
      <c r="L363" t="s">
        <v>16</v>
      </c>
    </row>
    <row r="364" spans="1:12">
      <c r="A364" s="3">
        <v>45285</v>
      </c>
      <c r="B364" t="s">
        <v>35</v>
      </c>
      <c r="C364" s="5">
        <v>27</v>
      </c>
      <c r="D364" s="7">
        <v>26.84</v>
      </c>
      <c r="E364" s="7">
        <f>Ventas[[#This Row],[CANTIDAD]]*Ventas[[#This Row],[PRECIO_UNIT]]</f>
        <v>724.68</v>
      </c>
      <c r="F364" s="7">
        <f>Ventas[[#This Row],[SUBTOTAL]]*0.16</f>
        <v>115.94879999999999</v>
      </c>
      <c r="G364" s="7">
        <v>-6.8800000000010186E-2</v>
      </c>
      <c r="H364" s="7">
        <f>Ventas[[#This Row],[SUBTOTAL]]+Ventas[[#This Row],[IVA]]+Ventas[[#This Row],[DESCUENTO/EXTRA]]</f>
        <v>840.56</v>
      </c>
      <c r="I364" t="s">
        <v>18</v>
      </c>
      <c r="J364" t="s">
        <v>56</v>
      </c>
      <c r="K364" t="s">
        <v>15</v>
      </c>
      <c r="L364" t="s">
        <v>16</v>
      </c>
    </row>
    <row r="365" spans="1:12">
      <c r="A365" s="3">
        <v>45287</v>
      </c>
      <c r="B365" t="s">
        <v>43</v>
      </c>
      <c r="C365" s="5">
        <v>17</v>
      </c>
      <c r="D365" s="7">
        <v>29</v>
      </c>
      <c r="E365" s="7">
        <f>Ventas[[#This Row],[CANTIDAD]]*Ventas[[#This Row],[PRECIO_UNIT]]</f>
        <v>493</v>
      </c>
      <c r="F365" s="7">
        <f>Ventas[[#This Row],[SUBTOTAL]]*0.16</f>
        <v>78.88</v>
      </c>
      <c r="G365" s="7">
        <v>4.1200000000000045</v>
      </c>
      <c r="H365" s="7">
        <f>Ventas[[#This Row],[SUBTOTAL]]+Ventas[[#This Row],[IVA]]+Ventas[[#This Row],[DESCUENTO/EXTRA]]</f>
        <v>576</v>
      </c>
      <c r="I365" t="s">
        <v>18</v>
      </c>
      <c r="J365" t="s">
        <v>52</v>
      </c>
      <c r="K365" t="s">
        <v>15</v>
      </c>
      <c r="L365" t="s">
        <v>16</v>
      </c>
    </row>
    <row r="366" spans="1:12">
      <c r="A366" s="3">
        <v>45288</v>
      </c>
      <c r="B366" t="s">
        <v>20</v>
      </c>
      <c r="C366" s="5">
        <v>14</v>
      </c>
      <c r="D366" s="7">
        <v>12</v>
      </c>
      <c r="E366" s="7">
        <f>Ventas[[#This Row],[CANTIDAD]]*Ventas[[#This Row],[PRECIO_UNIT]]</f>
        <v>168</v>
      </c>
      <c r="F366" s="7">
        <f>Ventas[[#This Row],[SUBTOTAL]]*0.16</f>
        <v>26.88</v>
      </c>
      <c r="G366" s="7">
        <v>-7.0900000000000034</v>
      </c>
      <c r="H366" s="7">
        <f>Ventas[[#This Row],[SUBTOTAL]]+Ventas[[#This Row],[IVA]]+Ventas[[#This Row],[DESCUENTO/EXTRA]]</f>
        <v>187.79</v>
      </c>
      <c r="I366" t="s">
        <v>18</v>
      </c>
      <c r="J366" t="s">
        <v>48</v>
      </c>
      <c r="K366" t="s">
        <v>25</v>
      </c>
      <c r="L366" t="s">
        <v>16</v>
      </c>
    </row>
    <row r="367" spans="1:12">
      <c r="A367" s="3">
        <v>45288</v>
      </c>
      <c r="B367" t="s">
        <v>37</v>
      </c>
      <c r="C367" s="5">
        <v>14</v>
      </c>
      <c r="D367" s="7">
        <v>23.06</v>
      </c>
      <c r="E367" s="7">
        <f>Ventas[[#This Row],[CANTIDAD]]*Ventas[[#This Row],[PRECIO_UNIT]]</f>
        <v>322.83999999999997</v>
      </c>
      <c r="F367" s="7">
        <f>Ventas[[#This Row],[SUBTOTAL]]*0.16</f>
        <v>51.654399999999995</v>
      </c>
      <c r="G367" s="7">
        <v>5.6000000000153705E-3</v>
      </c>
      <c r="H367" s="7">
        <f>Ventas[[#This Row],[SUBTOTAL]]+Ventas[[#This Row],[IVA]]+Ventas[[#This Row],[DESCUENTO/EXTRA]]</f>
        <v>374.5</v>
      </c>
      <c r="I367" t="s">
        <v>18</v>
      </c>
      <c r="J367" t="s">
        <v>51</v>
      </c>
      <c r="K367" t="s">
        <v>25</v>
      </c>
      <c r="L367" t="s">
        <v>16</v>
      </c>
    </row>
    <row r="368" spans="1:12">
      <c r="A368" s="3">
        <v>45290</v>
      </c>
      <c r="B368" t="s">
        <v>22</v>
      </c>
      <c r="C368" s="5">
        <v>8</v>
      </c>
      <c r="D368" s="7">
        <v>22.64</v>
      </c>
      <c r="E368" s="7">
        <f>Ventas[[#This Row],[CANTIDAD]]*Ventas[[#This Row],[PRECIO_UNIT]]</f>
        <v>181.12</v>
      </c>
      <c r="F368" s="7">
        <f>Ventas[[#This Row],[SUBTOTAL]]*0.16</f>
        <v>28.979200000000002</v>
      </c>
      <c r="G368" s="7">
        <v>-9.919999999999618E-2</v>
      </c>
      <c r="H368" s="7">
        <f>Ventas[[#This Row],[SUBTOTAL]]+Ventas[[#This Row],[IVA]]+Ventas[[#This Row],[DESCUENTO/EXTRA]]</f>
        <v>210</v>
      </c>
      <c r="I368" t="s">
        <v>23</v>
      </c>
      <c r="J368" t="s">
        <v>56</v>
      </c>
      <c r="K368" t="s">
        <v>15</v>
      </c>
      <c r="L368" t="s">
        <v>16</v>
      </c>
    </row>
    <row r="369" spans="1:12">
      <c r="A369" s="3">
        <v>45291</v>
      </c>
      <c r="B369" t="s">
        <v>20</v>
      </c>
      <c r="C369" s="5">
        <v>5</v>
      </c>
      <c r="D369" s="7">
        <v>10.94</v>
      </c>
      <c r="E369" s="7">
        <f>Ventas[[#This Row],[CANTIDAD]]*Ventas[[#This Row],[PRECIO_UNIT]]</f>
        <v>54.699999999999996</v>
      </c>
      <c r="F369" s="7">
        <f>Ventas[[#This Row],[SUBTOTAL]]*0.16</f>
        <v>8.7519999999999989</v>
      </c>
      <c r="G369" s="7">
        <v>-0.45199999999999818</v>
      </c>
      <c r="H369" s="7">
        <f>Ventas[[#This Row],[SUBTOTAL]]+Ventas[[#This Row],[IVA]]+Ventas[[#This Row],[DESCUENTO/EXTRA]]</f>
        <v>63</v>
      </c>
      <c r="I369" t="s">
        <v>23</v>
      </c>
      <c r="J369" t="s">
        <v>42</v>
      </c>
      <c r="K369" t="s">
        <v>15</v>
      </c>
      <c r="L369" t="s">
        <v>16</v>
      </c>
    </row>
    <row r="370" spans="1:12">
      <c r="A370" s="3">
        <v>45291</v>
      </c>
      <c r="B370" t="s">
        <v>28</v>
      </c>
      <c r="C370" s="5">
        <v>28</v>
      </c>
      <c r="D370" s="7">
        <v>75.72</v>
      </c>
      <c r="E370" s="7">
        <f>Ventas[[#This Row],[CANTIDAD]]*Ventas[[#This Row],[PRECIO_UNIT]]</f>
        <v>2120.16</v>
      </c>
      <c r="F370" s="7">
        <f>Ventas[[#This Row],[SUBTOTAL]]*0.16</f>
        <v>339.22559999999999</v>
      </c>
      <c r="G370" s="7">
        <v>-5.5599999999685679E-2</v>
      </c>
      <c r="H370" s="7">
        <f>Ventas[[#This Row],[SUBTOTAL]]+Ventas[[#This Row],[IVA]]+Ventas[[#This Row],[DESCUENTO/EXTRA]]</f>
        <v>2459.33</v>
      </c>
      <c r="I370" t="s">
        <v>18</v>
      </c>
      <c r="J370" t="s">
        <v>36</v>
      </c>
      <c r="K370" t="s">
        <v>15</v>
      </c>
      <c r="L370" t="s">
        <v>16</v>
      </c>
    </row>
    <row r="371" spans="1:12">
      <c r="A371" s="3">
        <v>45292</v>
      </c>
      <c r="B371" t="s">
        <v>17</v>
      </c>
      <c r="C371" s="5">
        <v>4</v>
      </c>
      <c r="D371" s="7">
        <v>34.200000000000003</v>
      </c>
      <c r="E371" s="7">
        <f>Ventas[[#This Row],[CANTIDAD]]*Ventas[[#This Row],[PRECIO_UNIT]]</f>
        <v>136.80000000000001</v>
      </c>
      <c r="F371" s="7">
        <f>Ventas[[#This Row],[SUBTOTAL]]*0.16</f>
        <v>21.888000000000002</v>
      </c>
      <c r="G371" s="7">
        <v>1.999999999981128E-3</v>
      </c>
      <c r="H371" s="7">
        <f>Ventas[[#This Row],[SUBTOTAL]]+Ventas[[#This Row],[IVA]]+Ventas[[#This Row],[DESCUENTO/EXTRA]]</f>
        <v>158.69</v>
      </c>
      <c r="I371" t="s">
        <v>13</v>
      </c>
      <c r="J371" t="s">
        <v>33</v>
      </c>
      <c r="K371" t="s">
        <v>15</v>
      </c>
      <c r="L371" t="s">
        <v>16</v>
      </c>
    </row>
    <row r="372" spans="1:12">
      <c r="A372" s="3">
        <v>45293</v>
      </c>
      <c r="B372" t="s">
        <v>22</v>
      </c>
      <c r="C372" s="5">
        <v>6</v>
      </c>
      <c r="D372" s="7">
        <v>21.67</v>
      </c>
      <c r="E372" s="7">
        <f>Ventas[[#This Row],[CANTIDAD]]*Ventas[[#This Row],[PRECIO_UNIT]]</f>
        <v>130.02000000000001</v>
      </c>
      <c r="F372" s="7">
        <f>Ventas[[#This Row],[SUBTOTAL]]*0.16</f>
        <v>20.8032</v>
      </c>
      <c r="G372" s="7">
        <v>2.6799999999980173E-2</v>
      </c>
      <c r="H372" s="7">
        <f>Ventas[[#This Row],[SUBTOTAL]]+Ventas[[#This Row],[IVA]]+Ventas[[#This Row],[DESCUENTO/EXTRA]]</f>
        <v>150.85</v>
      </c>
      <c r="I372" t="s">
        <v>13</v>
      </c>
      <c r="J372" t="s">
        <v>38</v>
      </c>
      <c r="K372" t="s">
        <v>15</v>
      </c>
      <c r="L372" t="s">
        <v>16</v>
      </c>
    </row>
    <row r="373" spans="1:12">
      <c r="A373" s="3">
        <v>45293</v>
      </c>
      <c r="B373" t="s">
        <v>45</v>
      </c>
      <c r="C373" s="5">
        <v>10</v>
      </c>
      <c r="D373" s="7">
        <v>43.71</v>
      </c>
      <c r="E373" s="7">
        <f>Ventas[[#This Row],[CANTIDAD]]*Ventas[[#This Row],[PRECIO_UNIT]]</f>
        <v>437.1</v>
      </c>
      <c r="F373" s="7">
        <f>Ventas[[#This Row],[SUBTOTAL]]*0.16</f>
        <v>69.936000000000007</v>
      </c>
      <c r="G373" s="7">
        <v>-3.6000000000058208E-2</v>
      </c>
      <c r="H373" s="7">
        <f>Ventas[[#This Row],[SUBTOTAL]]+Ventas[[#This Row],[IVA]]+Ventas[[#This Row],[DESCUENTO/EXTRA]]</f>
        <v>507</v>
      </c>
      <c r="I373" t="s">
        <v>18</v>
      </c>
      <c r="J373" t="s">
        <v>54</v>
      </c>
      <c r="K373" t="s">
        <v>15</v>
      </c>
      <c r="L373" t="s">
        <v>16</v>
      </c>
    </row>
    <row r="374" spans="1:12">
      <c r="A374" s="3">
        <v>45294</v>
      </c>
      <c r="B374" t="s">
        <v>40</v>
      </c>
      <c r="C374" s="5">
        <v>5</v>
      </c>
      <c r="D374" s="7">
        <v>34</v>
      </c>
      <c r="E374" s="7">
        <f>Ventas[[#This Row],[CANTIDAD]]*Ventas[[#This Row],[PRECIO_UNIT]]</f>
        <v>170</v>
      </c>
      <c r="F374" s="7">
        <f>Ventas[[#This Row],[SUBTOTAL]]*0.16</f>
        <v>27.2</v>
      </c>
      <c r="G374" s="7">
        <v>-2.1299999999999955</v>
      </c>
      <c r="H374" s="7">
        <f>Ventas[[#This Row],[SUBTOTAL]]+Ventas[[#This Row],[IVA]]+Ventas[[#This Row],[DESCUENTO/EXTRA]]</f>
        <v>195.07</v>
      </c>
      <c r="I374" t="s">
        <v>13</v>
      </c>
      <c r="J374" t="s">
        <v>49</v>
      </c>
      <c r="K374" t="s">
        <v>25</v>
      </c>
      <c r="L374" t="s">
        <v>16</v>
      </c>
    </row>
    <row r="375" spans="1:12">
      <c r="A375" s="3">
        <v>45294</v>
      </c>
      <c r="B375" t="s">
        <v>12</v>
      </c>
      <c r="C375" s="5">
        <v>28</v>
      </c>
      <c r="D375" s="7">
        <v>55</v>
      </c>
      <c r="E375" s="7">
        <f>Ventas[[#This Row],[CANTIDAD]]*Ventas[[#This Row],[PRECIO_UNIT]]</f>
        <v>1540</v>
      </c>
      <c r="F375" s="7">
        <f>Ventas[[#This Row],[SUBTOTAL]]*0.16</f>
        <v>246.4</v>
      </c>
      <c r="G375" s="7">
        <v>-13.150000000000091</v>
      </c>
      <c r="H375" s="7">
        <f>Ventas[[#This Row],[SUBTOTAL]]+Ventas[[#This Row],[IVA]]+Ventas[[#This Row],[DESCUENTO/EXTRA]]</f>
        <v>1773.25</v>
      </c>
      <c r="I375" t="s">
        <v>18</v>
      </c>
      <c r="J375" t="s">
        <v>30</v>
      </c>
      <c r="K375" t="s">
        <v>15</v>
      </c>
      <c r="L375" t="s">
        <v>16</v>
      </c>
    </row>
    <row r="376" spans="1:12">
      <c r="A376" s="3">
        <v>45294</v>
      </c>
      <c r="B376" t="s">
        <v>17</v>
      </c>
      <c r="C376" s="5">
        <v>29</v>
      </c>
      <c r="D376" s="7">
        <v>34.979999999999997</v>
      </c>
      <c r="E376" s="7">
        <f>Ventas[[#This Row],[CANTIDAD]]*Ventas[[#This Row],[PRECIO_UNIT]]</f>
        <v>1014.42</v>
      </c>
      <c r="F376" s="7">
        <f>Ventas[[#This Row],[SUBTOTAL]]*0.16</f>
        <v>162.30719999999999</v>
      </c>
      <c r="G376" s="7">
        <v>-0.72720000000003893</v>
      </c>
      <c r="H376" s="7">
        <f>Ventas[[#This Row],[SUBTOTAL]]+Ventas[[#This Row],[IVA]]+Ventas[[#This Row],[DESCUENTO/EXTRA]]</f>
        <v>1176</v>
      </c>
      <c r="I376" t="s">
        <v>18</v>
      </c>
      <c r="J376" t="s">
        <v>49</v>
      </c>
      <c r="K376" t="s">
        <v>15</v>
      </c>
      <c r="L376" t="s">
        <v>16</v>
      </c>
    </row>
    <row r="377" spans="1:12">
      <c r="A377" s="3">
        <v>45296</v>
      </c>
      <c r="B377" t="s">
        <v>26</v>
      </c>
      <c r="C377" s="5">
        <v>4</v>
      </c>
      <c r="D377" s="7">
        <v>38</v>
      </c>
      <c r="E377" s="7">
        <f>Ventas[[#This Row],[CANTIDAD]]*Ventas[[#This Row],[PRECIO_UNIT]]</f>
        <v>152</v>
      </c>
      <c r="F377" s="7">
        <f>Ventas[[#This Row],[SUBTOTAL]]*0.16</f>
        <v>24.32</v>
      </c>
      <c r="G377" s="7">
        <v>-0.31999999999999318</v>
      </c>
      <c r="H377" s="7">
        <f>Ventas[[#This Row],[SUBTOTAL]]+Ventas[[#This Row],[IVA]]+Ventas[[#This Row],[DESCUENTO/EXTRA]]</f>
        <v>176</v>
      </c>
      <c r="I377" t="s">
        <v>13</v>
      </c>
      <c r="J377" t="s">
        <v>38</v>
      </c>
      <c r="K377" t="s">
        <v>15</v>
      </c>
      <c r="L377" t="s">
        <v>16</v>
      </c>
    </row>
    <row r="378" spans="1:12">
      <c r="A378" s="3">
        <v>45296</v>
      </c>
      <c r="B378" t="s">
        <v>40</v>
      </c>
      <c r="C378" s="5">
        <v>13</v>
      </c>
      <c r="D378" s="7">
        <v>34.42</v>
      </c>
      <c r="E378" s="7">
        <f>Ventas[[#This Row],[CANTIDAD]]*Ventas[[#This Row],[PRECIO_UNIT]]</f>
        <v>447.46000000000004</v>
      </c>
      <c r="F378" s="7">
        <f>Ventas[[#This Row],[SUBTOTAL]]*0.16</f>
        <v>71.593600000000009</v>
      </c>
      <c r="G378" s="7">
        <v>-3.3600000000092223E-2</v>
      </c>
      <c r="H378" s="7">
        <f>Ventas[[#This Row],[SUBTOTAL]]+Ventas[[#This Row],[IVA]]+Ventas[[#This Row],[DESCUENTO/EXTRA]]</f>
        <v>519.02</v>
      </c>
      <c r="I378" t="s">
        <v>18</v>
      </c>
      <c r="J378" t="s">
        <v>50</v>
      </c>
      <c r="K378" t="s">
        <v>15</v>
      </c>
      <c r="L378" t="s">
        <v>16</v>
      </c>
    </row>
    <row r="379" spans="1:12">
      <c r="A379" s="3">
        <v>45296</v>
      </c>
      <c r="B379" t="s">
        <v>12</v>
      </c>
      <c r="C379" s="5">
        <v>25</v>
      </c>
      <c r="D379" s="7">
        <v>59.03</v>
      </c>
      <c r="E379" s="7">
        <f>Ventas[[#This Row],[CANTIDAD]]*Ventas[[#This Row],[PRECIO_UNIT]]</f>
        <v>1475.75</v>
      </c>
      <c r="F379" s="7">
        <f>Ventas[[#This Row],[SUBTOTAL]]*0.16</f>
        <v>236.12</v>
      </c>
      <c r="G379" s="7">
        <v>0.13000000000010914</v>
      </c>
      <c r="H379" s="7">
        <f>Ventas[[#This Row],[SUBTOTAL]]+Ventas[[#This Row],[IVA]]+Ventas[[#This Row],[DESCUENTO/EXTRA]]</f>
        <v>1712</v>
      </c>
      <c r="I379" t="s">
        <v>18</v>
      </c>
      <c r="J379" t="s">
        <v>19</v>
      </c>
      <c r="K379" t="s">
        <v>25</v>
      </c>
      <c r="L379" t="s">
        <v>16</v>
      </c>
    </row>
    <row r="380" spans="1:12">
      <c r="A380" s="3">
        <v>45297</v>
      </c>
      <c r="B380" t="s">
        <v>35</v>
      </c>
      <c r="C380" s="5">
        <v>18</v>
      </c>
      <c r="D380" s="7">
        <v>28.31</v>
      </c>
      <c r="E380" s="7">
        <f>Ventas[[#This Row],[CANTIDAD]]*Ventas[[#This Row],[PRECIO_UNIT]]</f>
        <v>509.58</v>
      </c>
      <c r="F380" s="7">
        <f>Ventas[[#This Row],[SUBTOTAL]]*0.16</f>
        <v>81.532799999999995</v>
      </c>
      <c r="G380" s="7">
        <v>-2.7999999999792635E-3</v>
      </c>
      <c r="H380" s="7">
        <f>Ventas[[#This Row],[SUBTOTAL]]+Ventas[[#This Row],[IVA]]+Ventas[[#This Row],[DESCUENTO/EXTRA]]</f>
        <v>591.11</v>
      </c>
      <c r="I380" t="s">
        <v>32</v>
      </c>
      <c r="J380" t="s">
        <v>50</v>
      </c>
      <c r="K380" t="s">
        <v>25</v>
      </c>
      <c r="L380" t="s">
        <v>16</v>
      </c>
    </row>
    <row r="381" spans="1:12">
      <c r="A381" s="3">
        <v>45298</v>
      </c>
      <c r="B381" t="s">
        <v>17</v>
      </c>
      <c r="C381" s="5">
        <v>1</v>
      </c>
      <c r="D381" s="7">
        <v>35.090000000000003</v>
      </c>
      <c r="E381" s="7">
        <f>Ventas[[#This Row],[CANTIDAD]]*Ventas[[#This Row],[PRECIO_UNIT]]</f>
        <v>35.090000000000003</v>
      </c>
      <c r="F381" s="7">
        <f>Ventas[[#This Row],[SUBTOTAL]]*0.16</f>
        <v>5.6144000000000007</v>
      </c>
      <c r="G381" s="7">
        <v>0.2955999999999932</v>
      </c>
      <c r="H381" s="7">
        <f>Ventas[[#This Row],[SUBTOTAL]]+Ventas[[#This Row],[IVA]]+Ventas[[#This Row],[DESCUENTO/EXTRA]]</f>
        <v>41</v>
      </c>
      <c r="I381" t="s">
        <v>18</v>
      </c>
      <c r="J381" t="s">
        <v>27</v>
      </c>
      <c r="K381" t="s">
        <v>25</v>
      </c>
      <c r="L381" t="s">
        <v>16</v>
      </c>
    </row>
    <row r="382" spans="1:12">
      <c r="A382" s="3">
        <v>45298</v>
      </c>
      <c r="B382" t="s">
        <v>40</v>
      </c>
      <c r="C382" s="5">
        <v>24</v>
      </c>
      <c r="D382" s="7">
        <v>35</v>
      </c>
      <c r="E382" s="7">
        <f>Ventas[[#This Row],[CANTIDAD]]*Ventas[[#This Row],[PRECIO_UNIT]]</f>
        <v>840</v>
      </c>
      <c r="F382" s="7">
        <f>Ventas[[#This Row],[SUBTOTAL]]*0.16</f>
        <v>134.4</v>
      </c>
      <c r="G382" s="7">
        <v>6.5099999999999909</v>
      </c>
      <c r="H382" s="7">
        <f>Ventas[[#This Row],[SUBTOTAL]]+Ventas[[#This Row],[IVA]]+Ventas[[#This Row],[DESCUENTO/EXTRA]]</f>
        <v>980.91</v>
      </c>
      <c r="I382" t="s">
        <v>18</v>
      </c>
      <c r="J382" t="s">
        <v>29</v>
      </c>
      <c r="K382" t="s">
        <v>25</v>
      </c>
      <c r="L382" t="s">
        <v>16</v>
      </c>
    </row>
    <row r="383" spans="1:12">
      <c r="A383" s="3">
        <v>45298</v>
      </c>
      <c r="B383" t="s">
        <v>37</v>
      </c>
      <c r="C383" s="5">
        <v>15</v>
      </c>
      <c r="D383" s="7">
        <v>21.88</v>
      </c>
      <c r="E383" s="7">
        <f>Ventas[[#This Row],[CANTIDAD]]*Ventas[[#This Row],[PRECIO_UNIT]]</f>
        <v>328.2</v>
      </c>
      <c r="F383" s="7">
        <f>Ventas[[#This Row],[SUBTOTAL]]*0.16</f>
        <v>52.512</v>
      </c>
      <c r="G383" s="7">
        <v>-0.71199999999998909</v>
      </c>
      <c r="H383" s="7">
        <f>Ventas[[#This Row],[SUBTOTAL]]+Ventas[[#This Row],[IVA]]+Ventas[[#This Row],[DESCUENTO/EXTRA]]</f>
        <v>380</v>
      </c>
      <c r="I383" t="s">
        <v>18</v>
      </c>
      <c r="J383" t="s">
        <v>14</v>
      </c>
      <c r="K383" t="s">
        <v>25</v>
      </c>
      <c r="L383" t="s">
        <v>16</v>
      </c>
    </row>
    <row r="384" spans="1:12">
      <c r="A384" s="3">
        <v>45299</v>
      </c>
      <c r="B384" t="s">
        <v>46</v>
      </c>
      <c r="C384" s="5">
        <v>16</v>
      </c>
      <c r="D384" s="7">
        <v>28.56</v>
      </c>
      <c r="E384" s="7">
        <f>Ventas[[#This Row],[CANTIDAD]]*Ventas[[#This Row],[PRECIO_UNIT]]</f>
        <v>456.96</v>
      </c>
      <c r="F384" s="7">
        <f>Ventas[[#This Row],[SUBTOTAL]]*0.16</f>
        <v>73.113600000000005</v>
      </c>
      <c r="G384" s="7">
        <v>-7.3599999999942156E-2</v>
      </c>
      <c r="H384" s="7">
        <f>Ventas[[#This Row],[SUBTOTAL]]+Ventas[[#This Row],[IVA]]+Ventas[[#This Row],[DESCUENTO/EXTRA]]</f>
        <v>530</v>
      </c>
      <c r="I384" t="s">
        <v>23</v>
      </c>
      <c r="J384" t="s">
        <v>33</v>
      </c>
      <c r="K384" t="s">
        <v>15</v>
      </c>
      <c r="L384" t="s">
        <v>16</v>
      </c>
    </row>
    <row r="385" spans="1:12">
      <c r="A385" s="3">
        <v>45300</v>
      </c>
      <c r="B385" t="s">
        <v>26</v>
      </c>
      <c r="C385" s="5">
        <v>22</v>
      </c>
      <c r="D385" s="7">
        <v>42.54</v>
      </c>
      <c r="E385" s="7">
        <f>Ventas[[#This Row],[CANTIDAD]]*Ventas[[#This Row],[PRECIO_UNIT]]</f>
        <v>935.88</v>
      </c>
      <c r="F385" s="7">
        <f>Ventas[[#This Row],[SUBTOTAL]]*0.16</f>
        <v>149.74080000000001</v>
      </c>
      <c r="G385" s="7">
        <v>0.37920000000008258</v>
      </c>
      <c r="H385" s="7">
        <f>Ventas[[#This Row],[SUBTOTAL]]+Ventas[[#This Row],[IVA]]+Ventas[[#This Row],[DESCUENTO/EXTRA]]</f>
        <v>1086</v>
      </c>
      <c r="I385" t="s">
        <v>18</v>
      </c>
      <c r="J385" t="s">
        <v>44</v>
      </c>
      <c r="K385" t="s">
        <v>15</v>
      </c>
      <c r="L385" t="s">
        <v>16</v>
      </c>
    </row>
    <row r="386" spans="1:12">
      <c r="A386" s="3">
        <v>45300</v>
      </c>
      <c r="B386" t="s">
        <v>22</v>
      </c>
      <c r="C386" s="5">
        <v>22</v>
      </c>
      <c r="D386" s="7">
        <v>23</v>
      </c>
      <c r="E386" s="7">
        <f>Ventas[[#This Row],[CANTIDAD]]*Ventas[[#This Row],[PRECIO_UNIT]]</f>
        <v>506</v>
      </c>
      <c r="F386" s="7">
        <f>Ventas[[#This Row],[SUBTOTAL]]*0.16</f>
        <v>80.960000000000008</v>
      </c>
      <c r="G386" s="7">
        <v>2.0399999999999636</v>
      </c>
      <c r="H386" s="7">
        <f>Ventas[[#This Row],[SUBTOTAL]]+Ventas[[#This Row],[IVA]]+Ventas[[#This Row],[DESCUENTO/EXTRA]]</f>
        <v>589</v>
      </c>
      <c r="I386" t="s">
        <v>13</v>
      </c>
      <c r="J386" t="s">
        <v>38</v>
      </c>
      <c r="K386" t="s">
        <v>25</v>
      </c>
      <c r="L386" t="s">
        <v>16</v>
      </c>
    </row>
    <row r="387" spans="1:12">
      <c r="A387" s="3">
        <v>45301</v>
      </c>
      <c r="B387" t="s">
        <v>20</v>
      </c>
      <c r="C387" s="5">
        <v>11</v>
      </c>
      <c r="D387" s="7">
        <v>11.42</v>
      </c>
      <c r="E387" s="7">
        <f>Ventas[[#This Row],[CANTIDAD]]*Ventas[[#This Row],[PRECIO_UNIT]]</f>
        <v>125.62</v>
      </c>
      <c r="F387" s="7">
        <f>Ventas[[#This Row],[SUBTOTAL]]*0.16</f>
        <v>20.0992</v>
      </c>
      <c r="G387" s="7">
        <v>1.0799999999989041E-2</v>
      </c>
      <c r="H387" s="7">
        <f>Ventas[[#This Row],[SUBTOTAL]]+Ventas[[#This Row],[IVA]]+Ventas[[#This Row],[DESCUENTO/EXTRA]]</f>
        <v>145.72999999999999</v>
      </c>
      <c r="I387" t="s">
        <v>18</v>
      </c>
      <c r="J387" t="s">
        <v>55</v>
      </c>
      <c r="K387" t="s">
        <v>25</v>
      </c>
      <c r="L387" t="s">
        <v>16</v>
      </c>
    </row>
    <row r="388" spans="1:12">
      <c r="A388" s="3">
        <v>45301</v>
      </c>
      <c r="B388" t="s">
        <v>20</v>
      </c>
      <c r="C388" s="5">
        <v>4</v>
      </c>
      <c r="D388" s="7">
        <v>11.97</v>
      </c>
      <c r="E388" s="7">
        <f>Ventas[[#This Row],[CANTIDAD]]*Ventas[[#This Row],[PRECIO_UNIT]]</f>
        <v>47.88</v>
      </c>
      <c r="F388" s="7">
        <f>Ventas[[#This Row],[SUBTOTAL]]*0.16</f>
        <v>7.6608000000000009</v>
      </c>
      <c r="G388" s="7">
        <v>0.45919999999999561</v>
      </c>
      <c r="H388" s="7">
        <f>Ventas[[#This Row],[SUBTOTAL]]+Ventas[[#This Row],[IVA]]+Ventas[[#This Row],[DESCUENTO/EXTRA]]</f>
        <v>56</v>
      </c>
      <c r="I388" t="s">
        <v>18</v>
      </c>
      <c r="J388" t="s">
        <v>34</v>
      </c>
      <c r="K388" t="s">
        <v>15</v>
      </c>
      <c r="L388" t="s">
        <v>16</v>
      </c>
    </row>
    <row r="389" spans="1:12">
      <c r="A389" s="3">
        <v>45302</v>
      </c>
      <c r="B389" t="s">
        <v>20</v>
      </c>
      <c r="C389" s="5">
        <v>21</v>
      </c>
      <c r="D389" s="7">
        <v>11.74</v>
      </c>
      <c r="E389" s="7">
        <f>Ventas[[#This Row],[CANTIDAD]]*Ventas[[#This Row],[PRECIO_UNIT]]</f>
        <v>246.54</v>
      </c>
      <c r="F389" s="7">
        <f>Ventas[[#This Row],[SUBTOTAL]]*0.16</f>
        <v>39.446399999999997</v>
      </c>
      <c r="G389" s="7">
        <v>1.3599999999996726E-2</v>
      </c>
      <c r="H389" s="7">
        <f>Ventas[[#This Row],[SUBTOTAL]]+Ventas[[#This Row],[IVA]]+Ventas[[#This Row],[DESCUENTO/EXTRA]]</f>
        <v>286</v>
      </c>
      <c r="I389" t="s">
        <v>18</v>
      </c>
      <c r="J389" t="s">
        <v>21</v>
      </c>
      <c r="K389" t="s">
        <v>15</v>
      </c>
      <c r="L389" t="s">
        <v>16</v>
      </c>
    </row>
    <row r="390" spans="1:12">
      <c r="A390" s="3">
        <v>45304</v>
      </c>
      <c r="B390" t="s">
        <v>35</v>
      </c>
      <c r="C390" s="5">
        <v>30</v>
      </c>
      <c r="D390" s="7">
        <v>24.97</v>
      </c>
      <c r="E390" s="7">
        <f>Ventas[[#This Row],[CANTIDAD]]*Ventas[[#This Row],[PRECIO_UNIT]]</f>
        <v>749.09999999999991</v>
      </c>
      <c r="F390" s="7">
        <f>Ventas[[#This Row],[SUBTOTAL]]*0.16</f>
        <v>119.85599999999999</v>
      </c>
      <c r="G390" s="7">
        <v>4.4000000000096406E-2</v>
      </c>
      <c r="H390" s="7">
        <f>Ventas[[#This Row],[SUBTOTAL]]+Ventas[[#This Row],[IVA]]+Ventas[[#This Row],[DESCUENTO/EXTRA]]</f>
        <v>869</v>
      </c>
      <c r="I390" t="s">
        <v>18</v>
      </c>
      <c r="J390" t="s">
        <v>36</v>
      </c>
      <c r="K390" t="s">
        <v>15</v>
      </c>
      <c r="L390" t="s">
        <v>16</v>
      </c>
    </row>
    <row r="391" spans="1:12">
      <c r="A391" s="3">
        <v>45304</v>
      </c>
      <c r="B391" t="s">
        <v>28</v>
      </c>
      <c r="C391" s="5">
        <v>28</v>
      </c>
      <c r="D391" s="7">
        <v>81</v>
      </c>
      <c r="E391" s="7">
        <f>Ventas[[#This Row],[CANTIDAD]]*Ventas[[#This Row],[PRECIO_UNIT]]</f>
        <v>2268</v>
      </c>
      <c r="F391" s="7">
        <f>Ventas[[#This Row],[SUBTOTAL]]*0.16</f>
        <v>362.88</v>
      </c>
      <c r="G391" s="7">
        <v>10.809999999999945</v>
      </c>
      <c r="H391" s="7">
        <f>Ventas[[#This Row],[SUBTOTAL]]+Ventas[[#This Row],[IVA]]+Ventas[[#This Row],[DESCUENTO/EXTRA]]</f>
        <v>2641.69</v>
      </c>
      <c r="I391" t="s">
        <v>18</v>
      </c>
      <c r="J391" t="s">
        <v>29</v>
      </c>
      <c r="K391" t="s">
        <v>15</v>
      </c>
      <c r="L391" t="s">
        <v>16</v>
      </c>
    </row>
    <row r="392" spans="1:12">
      <c r="A392" s="3">
        <v>45304</v>
      </c>
      <c r="B392" t="s">
        <v>26</v>
      </c>
      <c r="C392" s="5">
        <v>3</v>
      </c>
      <c r="D392" s="7">
        <v>38.07</v>
      </c>
      <c r="E392" s="7">
        <f>Ventas[[#This Row],[CANTIDAD]]*Ventas[[#This Row],[PRECIO_UNIT]]</f>
        <v>114.21000000000001</v>
      </c>
      <c r="F392" s="7">
        <f>Ventas[[#This Row],[SUBTOTAL]]*0.16</f>
        <v>18.273600000000002</v>
      </c>
      <c r="G392" s="7">
        <v>6.3999999999850843E-3</v>
      </c>
      <c r="H392" s="7">
        <f>Ventas[[#This Row],[SUBTOTAL]]+Ventas[[#This Row],[IVA]]+Ventas[[#This Row],[DESCUENTO/EXTRA]]</f>
        <v>132.49</v>
      </c>
      <c r="I392" t="s">
        <v>18</v>
      </c>
      <c r="J392" t="s">
        <v>33</v>
      </c>
      <c r="K392" t="s">
        <v>15</v>
      </c>
      <c r="L392" t="s">
        <v>16</v>
      </c>
    </row>
    <row r="393" spans="1:12">
      <c r="A393" s="3">
        <v>45304</v>
      </c>
      <c r="B393" t="s">
        <v>28</v>
      </c>
      <c r="C393" s="5">
        <v>1</v>
      </c>
      <c r="D393" s="7">
        <v>79</v>
      </c>
      <c r="E393" s="7">
        <f>Ventas[[#This Row],[CANTIDAD]]*Ventas[[#This Row],[PRECIO_UNIT]]</f>
        <v>79</v>
      </c>
      <c r="F393" s="7">
        <f>Ventas[[#This Row],[SUBTOTAL]]*0.16</f>
        <v>12.64</v>
      </c>
      <c r="G393" s="7">
        <v>0.48000000000000398</v>
      </c>
      <c r="H393" s="7">
        <f>Ventas[[#This Row],[SUBTOTAL]]+Ventas[[#This Row],[IVA]]+Ventas[[#This Row],[DESCUENTO/EXTRA]]</f>
        <v>92.12</v>
      </c>
      <c r="I393" t="s">
        <v>18</v>
      </c>
      <c r="J393" t="s">
        <v>21</v>
      </c>
      <c r="K393" t="s">
        <v>15</v>
      </c>
      <c r="L393" t="s">
        <v>16</v>
      </c>
    </row>
    <row r="394" spans="1:12">
      <c r="A394" s="3">
        <v>45304</v>
      </c>
      <c r="B394" t="s">
        <v>40</v>
      </c>
      <c r="C394" s="5">
        <v>26</v>
      </c>
      <c r="D394" s="7">
        <v>32.99</v>
      </c>
      <c r="E394" s="7">
        <f>Ventas[[#This Row],[CANTIDAD]]*Ventas[[#This Row],[PRECIO_UNIT]]</f>
        <v>857.74</v>
      </c>
      <c r="F394" s="7">
        <f>Ventas[[#This Row],[SUBTOTAL]]*0.16</f>
        <v>137.23840000000001</v>
      </c>
      <c r="G394" s="7">
        <v>-2.8399999999919601E-2</v>
      </c>
      <c r="H394" s="7">
        <f>Ventas[[#This Row],[SUBTOTAL]]+Ventas[[#This Row],[IVA]]+Ventas[[#This Row],[DESCUENTO/EXTRA]]</f>
        <v>994.95</v>
      </c>
      <c r="I394" t="s">
        <v>32</v>
      </c>
      <c r="J394" t="s">
        <v>14</v>
      </c>
      <c r="K394" t="s">
        <v>15</v>
      </c>
      <c r="L394" t="s">
        <v>16</v>
      </c>
    </row>
    <row r="395" spans="1:12">
      <c r="A395" s="3">
        <v>45307</v>
      </c>
      <c r="B395" t="s">
        <v>28</v>
      </c>
      <c r="C395" s="5">
        <v>17</v>
      </c>
      <c r="D395" s="7">
        <v>82.65</v>
      </c>
      <c r="E395" s="7">
        <f>Ventas[[#This Row],[CANTIDAD]]*Ventas[[#This Row],[PRECIO_UNIT]]</f>
        <v>1405.0500000000002</v>
      </c>
      <c r="F395" s="7">
        <f>Ventas[[#This Row],[SUBTOTAL]]*0.16</f>
        <v>224.80800000000002</v>
      </c>
      <c r="G395" s="7">
        <v>-2.8000000000247383E-2</v>
      </c>
      <c r="H395" s="7">
        <f>Ventas[[#This Row],[SUBTOTAL]]+Ventas[[#This Row],[IVA]]+Ventas[[#This Row],[DESCUENTO/EXTRA]]</f>
        <v>1629.83</v>
      </c>
      <c r="I395" t="s">
        <v>18</v>
      </c>
      <c r="J395" t="s">
        <v>47</v>
      </c>
      <c r="K395" t="s">
        <v>15</v>
      </c>
      <c r="L395" t="s">
        <v>16</v>
      </c>
    </row>
    <row r="396" spans="1:12">
      <c r="A396" s="3">
        <v>45308</v>
      </c>
      <c r="B396" t="s">
        <v>37</v>
      </c>
      <c r="C396" s="5">
        <v>12</v>
      </c>
      <c r="D396" s="7">
        <v>24</v>
      </c>
      <c r="E396" s="7">
        <f>Ventas[[#This Row],[CANTIDAD]]*Ventas[[#This Row],[PRECIO_UNIT]]</f>
        <v>288</v>
      </c>
      <c r="F396" s="7">
        <f>Ventas[[#This Row],[SUBTOTAL]]*0.16</f>
        <v>46.08</v>
      </c>
      <c r="G396" s="7">
        <v>4.1100000000000136</v>
      </c>
      <c r="H396" s="7">
        <f>Ventas[[#This Row],[SUBTOTAL]]+Ventas[[#This Row],[IVA]]+Ventas[[#This Row],[DESCUENTO/EXTRA]]</f>
        <v>338.19</v>
      </c>
      <c r="I396" t="s">
        <v>18</v>
      </c>
      <c r="J396" t="s">
        <v>21</v>
      </c>
      <c r="K396" t="s">
        <v>15</v>
      </c>
      <c r="L396" t="s">
        <v>16</v>
      </c>
    </row>
    <row r="397" spans="1:12">
      <c r="A397" s="3">
        <v>45308</v>
      </c>
      <c r="B397" t="s">
        <v>40</v>
      </c>
      <c r="C397" s="5">
        <v>5</v>
      </c>
      <c r="D397" s="7">
        <v>34.549999999999997</v>
      </c>
      <c r="E397" s="7">
        <f>Ventas[[#This Row],[CANTIDAD]]*Ventas[[#This Row],[PRECIO_UNIT]]</f>
        <v>172.75</v>
      </c>
      <c r="F397" s="7">
        <f>Ventas[[#This Row],[SUBTOTAL]]*0.16</f>
        <v>27.64</v>
      </c>
      <c r="G397" s="7">
        <v>-0.38999999999998636</v>
      </c>
      <c r="H397" s="7">
        <f>Ventas[[#This Row],[SUBTOTAL]]+Ventas[[#This Row],[IVA]]+Ventas[[#This Row],[DESCUENTO/EXTRA]]</f>
        <v>200</v>
      </c>
      <c r="I397" t="s">
        <v>32</v>
      </c>
      <c r="J397" t="s">
        <v>49</v>
      </c>
      <c r="K397" t="s">
        <v>15</v>
      </c>
      <c r="L397" t="s">
        <v>16</v>
      </c>
    </row>
    <row r="398" spans="1:12">
      <c r="A398" s="3">
        <v>45310</v>
      </c>
      <c r="B398" t="s">
        <v>40</v>
      </c>
      <c r="C398" s="5">
        <v>26</v>
      </c>
      <c r="D398" s="7">
        <v>33.19</v>
      </c>
      <c r="E398" s="7">
        <f>Ventas[[#This Row],[CANTIDAD]]*Ventas[[#This Row],[PRECIO_UNIT]]</f>
        <v>862.93999999999994</v>
      </c>
      <c r="F398" s="7">
        <f>Ventas[[#This Row],[SUBTOTAL]]*0.16</f>
        <v>138.07040000000001</v>
      </c>
      <c r="G398" s="7">
        <v>6.960000000015043E-2</v>
      </c>
      <c r="H398" s="7">
        <f>Ventas[[#This Row],[SUBTOTAL]]+Ventas[[#This Row],[IVA]]+Ventas[[#This Row],[DESCUENTO/EXTRA]]</f>
        <v>1001.08</v>
      </c>
      <c r="I398" t="s">
        <v>41</v>
      </c>
      <c r="J398" t="s">
        <v>54</v>
      </c>
      <c r="K398" t="s">
        <v>15</v>
      </c>
      <c r="L398" t="s">
        <v>16</v>
      </c>
    </row>
    <row r="399" spans="1:12">
      <c r="A399" s="3">
        <v>45312</v>
      </c>
      <c r="B399" t="s">
        <v>35</v>
      </c>
      <c r="C399" s="5">
        <v>26</v>
      </c>
      <c r="D399" s="7">
        <v>26.87</v>
      </c>
      <c r="E399" s="7">
        <f>Ventas[[#This Row],[CANTIDAD]]*Ventas[[#This Row],[PRECIO_UNIT]]</f>
        <v>698.62</v>
      </c>
      <c r="F399" s="7">
        <f>Ventas[[#This Row],[SUBTOTAL]]*0.16</f>
        <v>111.7792</v>
      </c>
      <c r="G399" s="7">
        <v>0.12079999999991742</v>
      </c>
      <c r="H399" s="7">
        <f>Ventas[[#This Row],[SUBTOTAL]]+Ventas[[#This Row],[IVA]]+Ventas[[#This Row],[DESCUENTO/EXTRA]]</f>
        <v>810.52</v>
      </c>
      <c r="I399" t="s">
        <v>23</v>
      </c>
      <c r="J399" t="s">
        <v>19</v>
      </c>
      <c r="K399" t="s">
        <v>15</v>
      </c>
      <c r="L399" t="s">
        <v>16</v>
      </c>
    </row>
    <row r="400" spans="1:12">
      <c r="A400" s="3">
        <v>45313</v>
      </c>
      <c r="B400" t="s">
        <v>28</v>
      </c>
      <c r="C400" s="5">
        <v>6</v>
      </c>
      <c r="D400" s="7">
        <v>76.59</v>
      </c>
      <c r="E400" s="7">
        <f>Ventas[[#This Row],[CANTIDAD]]*Ventas[[#This Row],[PRECIO_UNIT]]</f>
        <v>459.54</v>
      </c>
      <c r="F400" s="7">
        <f>Ventas[[#This Row],[SUBTOTAL]]*0.16</f>
        <v>73.52640000000001</v>
      </c>
      <c r="G400" s="7">
        <v>2.3599999999987631E-2</v>
      </c>
      <c r="H400" s="7">
        <f>Ventas[[#This Row],[SUBTOTAL]]+Ventas[[#This Row],[IVA]]+Ventas[[#This Row],[DESCUENTO/EXTRA]]</f>
        <v>533.09</v>
      </c>
      <c r="I400" t="s">
        <v>13</v>
      </c>
      <c r="J400" t="s">
        <v>34</v>
      </c>
      <c r="K400" t="s">
        <v>15</v>
      </c>
      <c r="L400" t="s">
        <v>16</v>
      </c>
    </row>
    <row r="401" spans="1:12">
      <c r="A401" s="3">
        <v>45313</v>
      </c>
      <c r="B401" t="s">
        <v>17</v>
      </c>
      <c r="C401" s="5">
        <v>14</v>
      </c>
      <c r="D401" s="7">
        <v>35</v>
      </c>
      <c r="E401" s="7">
        <f>Ventas[[#This Row],[CANTIDAD]]*Ventas[[#This Row],[PRECIO_UNIT]]</f>
        <v>490</v>
      </c>
      <c r="F401" s="7">
        <f>Ventas[[#This Row],[SUBTOTAL]]*0.16</f>
        <v>78.400000000000006</v>
      </c>
      <c r="G401" s="7">
        <v>15.740000000000009</v>
      </c>
      <c r="H401" s="7">
        <f>Ventas[[#This Row],[SUBTOTAL]]+Ventas[[#This Row],[IVA]]+Ventas[[#This Row],[DESCUENTO/EXTRA]]</f>
        <v>584.14</v>
      </c>
      <c r="I401" t="s">
        <v>18</v>
      </c>
      <c r="J401" t="s">
        <v>42</v>
      </c>
      <c r="K401" t="s">
        <v>15</v>
      </c>
      <c r="L401" t="s">
        <v>16</v>
      </c>
    </row>
    <row r="402" spans="1:12">
      <c r="A402" s="3">
        <v>45314</v>
      </c>
      <c r="B402" t="s">
        <v>22</v>
      </c>
      <c r="C402" s="5">
        <v>16</v>
      </c>
      <c r="D402" s="7">
        <v>20</v>
      </c>
      <c r="E402" s="7">
        <f>Ventas[[#This Row],[CANTIDAD]]*Ventas[[#This Row],[PRECIO_UNIT]]</f>
        <v>320</v>
      </c>
      <c r="F402" s="7">
        <f>Ventas[[#This Row],[SUBTOTAL]]*0.16</f>
        <v>51.2</v>
      </c>
      <c r="G402" s="7">
        <v>0.63999999999998636</v>
      </c>
      <c r="H402" s="7">
        <f>Ventas[[#This Row],[SUBTOTAL]]+Ventas[[#This Row],[IVA]]+Ventas[[#This Row],[DESCUENTO/EXTRA]]</f>
        <v>371.84</v>
      </c>
      <c r="I402" t="s">
        <v>18</v>
      </c>
      <c r="J402" t="s">
        <v>51</v>
      </c>
      <c r="K402" t="s">
        <v>25</v>
      </c>
      <c r="L402" t="s">
        <v>16</v>
      </c>
    </row>
    <row r="403" spans="1:12">
      <c r="A403" s="3">
        <v>45315</v>
      </c>
      <c r="B403" t="s">
        <v>43</v>
      </c>
      <c r="C403" s="5">
        <v>26</v>
      </c>
      <c r="D403" s="7">
        <v>28.79</v>
      </c>
      <c r="E403" s="7">
        <f>Ventas[[#This Row],[CANTIDAD]]*Ventas[[#This Row],[PRECIO_UNIT]]</f>
        <v>748.54</v>
      </c>
      <c r="F403" s="7">
        <f>Ventas[[#This Row],[SUBTOTAL]]*0.16</f>
        <v>119.76639999999999</v>
      </c>
      <c r="G403" s="7">
        <v>6.3600000000064938E-2</v>
      </c>
      <c r="H403" s="7">
        <f>Ventas[[#This Row],[SUBTOTAL]]+Ventas[[#This Row],[IVA]]+Ventas[[#This Row],[DESCUENTO/EXTRA]]</f>
        <v>868.37</v>
      </c>
      <c r="I403" t="s">
        <v>32</v>
      </c>
      <c r="J403" t="s">
        <v>44</v>
      </c>
      <c r="K403" t="s">
        <v>25</v>
      </c>
      <c r="L403" t="s">
        <v>16</v>
      </c>
    </row>
    <row r="404" spans="1:12">
      <c r="A404" s="3">
        <v>45317</v>
      </c>
      <c r="B404" t="s">
        <v>22</v>
      </c>
      <c r="C404" s="5">
        <v>20</v>
      </c>
      <c r="D404" s="7">
        <v>20</v>
      </c>
      <c r="E404" s="7">
        <f>Ventas[[#This Row],[CANTIDAD]]*Ventas[[#This Row],[PRECIO_UNIT]]</f>
        <v>400</v>
      </c>
      <c r="F404" s="7">
        <f>Ventas[[#This Row],[SUBTOTAL]]*0.16</f>
        <v>64</v>
      </c>
      <c r="G404" s="7">
        <v>8.8899999999999864</v>
      </c>
      <c r="H404" s="7">
        <f>Ventas[[#This Row],[SUBTOTAL]]+Ventas[[#This Row],[IVA]]+Ventas[[#This Row],[DESCUENTO/EXTRA]]</f>
        <v>472.89</v>
      </c>
      <c r="I404" t="s">
        <v>18</v>
      </c>
      <c r="J404" t="s">
        <v>50</v>
      </c>
      <c r="K404" t="s">
        <v>15</v>
      </c>
      <c r="L404" t="s">
        <v>16</v>
      </c>
    </row>
    <row r="405" spans="1:12">
      <c r="A405" s="3">
        <v>45317</v>
      </c>
      <c r="B405" t="s">
        <v>37</v>
      </c>
      <c r="C405" s="5">
        <v>23</v>
      </c>
      <c r="D405" s="7">
        <v>22</v>
      </c>
      <c r="E405" s="7">
        <f>Ventas[[#This Row],[CANTIDAD]]*Ventas[[#This Row],[PRECIO_UNIT]]</f>
        <v>506</v>
      </c>
      <c r="F405" s="7">
        <f>Ventas[[#This Row],[SUBTOTAL]]*0.16</f>
        <v>80.960000000000008</v>
      </c>
      <c r="G405" s="7">
        <v>9.1499999999999773</v>
      </c>
      <c r="H405" s="7">
        <f>Ventas[[#This Row],[SUBTOTAL]]+Ventas[[#This Row],[IVA]]+Ventas[[#This Row],[DESCUENTO/EXTRA]]</f>
        <v>596.11</v>
      </c>
      <c r="I405" t="s">
        <v>18</v>
      </c>
      <c r="J405" t="s">
        <v>33</v>
      </c>
      <c r="K405" t="s">
        <v>25</v>
      </c>
      <c r="L405" t="s">
        <v>16</v>
      </c>
    </row>
    <row r="406" spans="1:12">
      <c r="A406" s="3">
        <v>45318</v>
      </c>
      <c r="B406" t="s">
        <v>26</v>
      </c>
      <c r="C406" s="5">
        <v>4</v>
      </c>
      <c r="D406" s="7">
        <v>43.61</v>
      </c>
      <c r="E406" s="7">
        <f>Ventas[[#This Row],[CANTIDAD]]*Ventas[[#This Row],[PRECIO_UNIT]]</f>
        <v>174.44</v>
      </c>
      <c r="F406" s="7">
        <f>Ventas[[#This Row],[SUBTOTAL]]*0.16</f>
        <v>27.910399999999999</v>
      </c>
      <c r="G406" s="7">
        <v>9.6000000000060481E-3</v>
      </c>
      <c r="H406" s="7">
        <f>Ventas[[#This Row],[SUBTOTAL]]+Ventas[[#This Row],[IVA]]+Ventas[[#This Row],[DESCUENTO/EXTRA]]</f>
        <v>202.36</v>
      </c>
      <c r="I406" t="s">
        <v>32</v>
      </c>
      <c r="J406" t="s">
        <v>19</v>
      </c>
      <c r="K406" t="s">
        <v>25</v>
      </c>
      <c r="L406" t="s">
        <v>16</v>
      </c>
    </row>
    <row r="407" spans="1:12">
      <c r="A407" s="3">
        <v>45318</v>
      </c>
      <c r="B407" t="s">
        <v>43</v>
      </c>
      <c r="C407" s="5">
        <v>4</v>
      </c>
      <c r="D407" s="7">
        <v>28.1</v>
      </c>
      <c r="E407" s="7">
        <f>Ventas[[#This Row],[CANTIDAD]]*Ventas[[#This Row],[PRECIO_UNIT]]</f>
        <v>112.4</v>
      </c>
      <c r="F407" s="7">
        <f>Ventas[[#This Row],[SUBTOTAL]]*0.16</f>
        <v>17.984000000000002</v>
      </c>
      <c r="G407" s="7">
        <v>-0.38400000000001455</v>
      </c>
      <c r="H407" s="7">
        <f>Ventas[[#This Row],[SUBTOTAL]]+Ventas[[#This Row],[IVA]]+Ventas[[#This Row],[DESCUENTO/EXTRA]]</f>
        <v>130</v>
      </c>
      <c r="I407" t="s">
        <v>23</v>
      </c>
      <c r="J407" t="s">
        <v>49</v>
      </c>
      <c r="K407" t="s">
        <v>15</v>
      </c>
      <c r="L407" t="s">
        <v>16</v>
      </c>
    </row>
    <row r="408" spans="1:12">
      <c r="A408" s="3">
        <v>45319</v>
      </c>
      <c r="B408" t="s">
        <v>17</v>
      </c>
      <c r="C408" s="5">
        <v>28</v>
      </c>
      <c r="D408" s="7">
        <v>37.01</v>
      </c>
      <c r="E408" s="7">
        <f>Ventas[[#This Row],[CANTIDAD]]*Ventas[[#This Row],[PRECIO_UNIT]]</f>
        <v>1036.28</v>
      </c>
      <c r="F408" s="7">
        <f>Ventas[[#This Row],[SUBTOTAL]]*0.16</f>
        <v>165.8048</v>
      </c>
      <c r="G408" s="7">
        <v>-8.4800000000086584E-2</v>
      </c>
      <c r="H408" s="7">
        <f>Ventas[[#This Row],[SUBTOTAL]]+Ventas[[#This Row],[IVA]]+Ventas[[#This Row],[DESCUENTO/EXTRA]]</f>
        <v>1202</v>
      </c>
      <c r="I408" t="s">
        <v>23</v>
      </c>
      <c r="J408" t="s">
        <v>21</v>
      </c>
      <c r="K408" t="s">
        <v>15</v>
      </c>
      <c r="L408" t="s">
        <v>16</v>
      </c>
    </row>
    <row r="409" spans="1:12">
      <c r="A409" s="3">
        <v>45320</v>
      </c>
      <c r="B409" t="s">
        <v>20</v>
      </c>
      <c r="C409" s="5">
        <v>21</v>
      </c>
      <c r="D409" s="7">
        <v>10.91</v>
      </c>
      <c r="E409" s="7">
        <f>Ventas[[#This Row],[CANTIDAD]]*Ventas[[#This Row],[PRECIO_UNIT]]</f>
        <v>229.11</v>
      </c>
      <c r="F409" s="7">
        <f>Ventas[[#This Row],[SUBTOTAL]]*0.16</f>
        <v>36.657600000000002</v>
      </c>
      <c r="G409" s="7">
        <v>0.23239999999998417</v>
      </c>
      <c r="H409" s="7">
        <f>Ventas[[#This Row],[SUBTOTAL]]+Ventas[[#This Row],[IVA]]+Ventas[[#This Row],[DESCUENTO/EXTRA]]</f>
        <v>266</v>
      </c>
      <c r="I409" t="s">
        <v>18</v>
      </c>
      <c r="J409" t="s">
        <v>55</v>
      </c>
      <c r="K409" t="s">
        <v>15</v>
      </c>
      <c r="L409" t="s">
        <v>16</v>
      </c>
    </row>
    <row r="410" spans="1:12">
      <c r="A410" s="3">
        <v>45321</v>
      </c>
      <c r="B410" t="s">
        <v>17</v>
      </c>
      <c r="C410" s="5">
        <v>16</v>
      </c>
      <c r="D410" s="7">
        <v>33</v>
      </c>
      <c r="E410" s="7">
        <f>Ventas[[#This Row],[CANTIDAD]]*Ventas[[#This Row],[PRECIO_UNIT]]</f>
        <v>528</v>
      </c>
      <c r="F410" s="7">
        <f>Ventas[[#This Row],[SUBTOTAL]]*0.16</f>
        <v>84.48</v>
      </c>
      <c r="G410" s="7">
        <v>-4.1299999999999955</v>
      </c>
      <c r="H410" s="7">
        <f>Ventas[[#This Row],[SUBTOTAL]]+Ventas[[#This Row],[IVA]]+Ventas[[#This Row],[DESCUENTO/EXTRA]]</f>
        <v>608.35</v>
      </c>
      <c r="I410" t="s">
        <v>41</v>
      </c>
      <c r="J410" t="s">
        <v>24</v>
      </c>
      <c r="K410" t="s">
        <v>15</v>
      </c>
      <c r="L410" t="s">
        <v>16</v>
      </c>
    </row>
    <row r="411" spans="1:12">
      <c r="A411" s="3">
        <v>45321</v>
      </c>
      <c r="B411" t="s">
        <v>17</v>
      </c>
      <c r="C411" s="5">
        <v>15</v>
      </c>
      <c r="D411" s="7">
        <v>37.130000000000003</v>
      </c>
      <c r="E411" s="7">
        <f>Ventas[[#This Row],[CANTIDAD]]*Ventas[[#This Row],[PRECIO_UNIT]]</f>
        <v>556.95000000000005</v>
      </c>
      <c r="F411" s="7">
        <f>Ventas[[#This Row],[SUBTOTAL]]*0.16</f>
        <v>89.112000000000009</v>
      </c>
      <c r="G411" s="7">
        <v>-6.2000000000011823E-2</v>
      </c>
      <c r="H411" s="7">
        <f>Ventas[[#This Row],[SUBTOTAL]]+Ventas[[#This Row],[IVA]]+Ventas[[#This Row],[DESCUENTO/EXTRA]]</f>
        <v>646</v>
      </c>
      <c r="I411" t="s">
        <v>13</v>
      </c>
      <c r="J411" t="s">
        <v>47</v>
      </c>
      <c r="K411" t="s">
        <v>25</v>
      </c>
      <c r="L411" t="s">
        <v>16</v>
      </c>
    </row>
    <row r="412" spans="1:12">
      <c r="A412" s="3">
        <v>45323</v>
      </c>
      <c r="B412" t="s">
        <v>26</v>
      </c>
      <c r="C412" s="5">
        <v>7</v>
      </c>
      <c r="D412" s="7">
        <v>38.299999999999997</v>
      </c>
      <c r="E412" s="7">
        <f>Ventas[[#This Row],[CANTIDAD]]*Ventas[[#This Row],[PRECIO_UNIT]]</f>
        <v>268.09999999999997</v>
      </c>
      <c r="F412" s="7">
        <f>Ventas[[#This Row],[SUBTOTAL]]*0.16</f>
        <v>42.895999999999994</v>
      </c>
      <c r="G412" s="7">
        <v>1.4000000000010004E-2</v>
      </c>
      <c r="H412" s="7">
        <f>Ventas[[#This Row],[SUBTOTAL]]+Ventas[[#This Row],[IVA]]+Ventas[[#This Row],[DESCUENTO/EXTRA]]</f>
        <v>311.01</v>
      </c>
      <c r="I412" t="s">
        <v>13</v>
      </c>
      <c r="J412" t="s">
        <v>39</v>
      </c>
      <c r="K412" t="s">
        <v>25</v>
      </c>
      <c r="L412" t="s">
        <v>16</v>
      </c>
    </row>
    <row r="413" spans="1:12">
      <c r="A413" s="3">
        <v>45324</v>
      </c>
      <c r="B413" t="s">
        <v>43</v>
      </c>
      <c r="C413" s="5">
        <v>1</v>
      </c>
      <c r="D413" s="7">
        <v>27.46</v>
      </c>
      <c r="E413" s="7">
        <f>Ventas[[#This Row],[CANTIDAD]]*Ventas[[#This Row],[PRECIO_UNIT]]</f>
        <v>27.46</v>
      </c>
      <c r="F413" s="7">
        <f>Ventas[[#This Row],[SUBTOTAL]]*0.16</f>
        <v>4.3936000000000002</v>
      </c>
      <c r="G413" s="7">
        <v>0.14639999999999986</v>
      </c>
      <c r="H413" s="7">
        <f>Ventas[[#This Row],[SUBTOTAL]]+Ventas[[#This Row],[IVA]]+Ventas[[#This Row],[DESCUENTO/EXTRA]]</f>
        <v>32</v>
      </c>
      <c r="I413" t="s">
        <v>23</v>
      </c>
      <c r="J413" t="s">
        <v>55</v>
      </c>
      <c r="K413" t="s">
        <v>15</v>
      </c>
      <c r="L413" t="s">
        <v>16</v>
      </c>
    </row>
    <row r="414" spans="1:12">
      <c r="A414" s="3">
        <v>45324</v>
      </c>
      <c r="B414" t="s">
        <v>35</v>
      </c>
      <c r="C414" s="5">
        <v>23</v>
      </c>
      <c r="D414" s="7">
        <v>26</v>
      </c>
      <c r="E414" s="7">
        <f>Ventas[[#This Row],[CANTIDAD]]*Ventas[[#This Row],[PRECIO_UNIT]]</f>
        <v>598</v>
      </c>
      <c r="F414" s="7">
        <f>Ventas[[#This Row],[SUBTOTAL]]*0.16</f>
        <v>95.68</v>
      </c>
      <c r="G414" s="7">
        <v>7.1499999999999773</v>
      </c>
      <c r="H414" s="7">
        <f>Ventas[[#This Row],[SUBTOTAL]]+Ventas[[#This Row],[IVA]]+Ventas[[#This Row],[DESCUENTO/EXTRA]]</f>
        <v>700.83</v>
      </c>
      <c r="I414" t="s">
        <v>32</v>
      </c>
      <c r="J414" t="s">
        <v>34</v>
      </c>
      <c r="K414" t="s">
        <v>25</v>
      </c>
      <c r="L414" t="s">
        <v>16</v>
      </c>
    </row>
    <row r="415" spans="1:12">
      <c r="A415" s="3">
        <v>45325</v>
      </c>
      <c r="B415" t="s">
        <v>37</v>
      </c>
      <c r="C415" s="5">
        <v>10</v>
      </c>
      <c r="D415" s="7">
        <v>24.75</v>
      </c>
      <c r="E415" s="7">
        <f>Ventas[[#This Row],[CANTIDAD]]*Ventas[[#This Row],[PRECIO_UNIT]]</f>
        <v>247.5</v>
      </c>
      <c r="F415" s="7">
        <f>Ventas[[#This Row],[SUBTOTAL]]*0.16</f>
        <v>39.6</v>
      </c>
      <c r="G415" s="7">
        <v>-5.0000000000011369E-2</v>
      </c>
      <c r="H415" s="7">
        <f>Ventas[[#This Row],[SUBTOTAL]]+Ventas[[#This Row],[IVA]]+Ventas[[#This Row],[DESCUENTO/EXTRA]]</f>
        <v>287.05</v>
      </c>
      <c r="I415" t="s">
        <v>41</v>
      </c>
      <c r="J415" t="s">
        <v>33</v>
      </c>
      <c r="K415" t="s">
        <v>25</v>
      </c>
      <c r="L415" t="s">
        <v>16</v>
      </c>
    </row>
    <row r="416" spans="1:12">
      <c r="A416" s="3">
        <v>45325</v>
      </c>
      <c r="B416" t="s">
        <v>46</v>
      </c>
      <c r="C416" s="5">
        <v>14</v>
      </c>
      <c r="D416" s="7">
        <v>27.97</v>
      </c>
      <c r="E416" s="7">
        <f>Ventas[[#This Row],[CANTIDAD]]*Ventas[[#This Row],[PRECIO_UNIT]]</f>
        <v>391.58</v>
      </c>
      <c r="F416" s="7">
        <f>Ventas[[#This Row],[SUBTOTAL]]*0.16</f>
        <v>62.652799999999999</v>
      </c>
      <c r="G416" s="7">
        <v>-2.2800000000017917E-2</v>
      </c>
      <c r="H416" s="7">
        <f>Ventas[[#This Row],[SUBTOTAL]]+Ventas[[#This Row],[IVA]]+Ventas[[#This Row],[DESCUENTO/EXTRA]]</f>
        <v>454.21</v>
      </c>
      <c r="I416" t="s">
        <v>23</v>
      </c>
      <c r="J416" t="s">
        <v>47</v>
      </c>
      <c r="K416" t="s">
        <v>15</v>
      </c>
      <c r="L416" t="s">
        <v>16</v>
      </c>
    </row>
    <row r="417" spans="1:12">
      <c r="A417" s="3">
        <v>45325</v>
      </c>
      <c r="B417" t="s">
        <v>35</v>
      </c>
      <c r="C417" s="5">
        <v>23</v>
      </c>
      <c r="D417" s="7">
        <v>26</v>
      </c>
      <c r="E417" s="7">
        <f>Ventas[[#This Row],[CANTIDAD]]*Ventas[[#This Row],[PRECIO_UNIT]]</f>
        <v>598</v>
      </c>
      <c r="F417" s="7">
        <f>Ventas[[#This Row],[SUBTOTAL]]*0.16</f>
        <v>95.68</v>
      </c>
      <c r="G417" s="7">
        <v>19.319999999999936</v>
      </c>
      <c r="H417" s="7">
        <f>Ventas[[#This Row],[SUBTOTAL]]+Ventas[[#This Row],[IVA]]+Ventas[[#This Row],[DESCUENTO/EXTRA]]</f>
        <v>713</v>
      </c>
      <c r="I417" t="s">
        <v>23</v>
      </c>
      <c r="J417" t="s">
        <v>54</v>
      </c>
      <c r="K417" t="s">
        <v>15</v>
      </c>
      <c r="L417" t="s">
        <v>16</v>
      </c>
    </row>
    <row r="418" spans="1:12">
      <c r="A418" s="3">
        <v>45329</v>
      </c>
      <c r="B418" t="s">
        <v>37</v>
      </c>
      <c r="C418" s="5">
        <v>19</v>
      </c>
      <c r="D418" s="7">
        <v>23.73</v>
      </c>
      <c r="E418" s="7">
        <f>Ventas[[#This Row],[CANTIDAD]]*Ventas[[#This Row],[PRECIO_UNIT]]</f>
        <v>450.87</v>
      </c>
      <c r="F418" s="7">
        <f>Ventas[[#This Row],[SUBTOTAL]]*0.16</f>
        <v>72.139200000000002</v>
      </c>
      <c r="G418" s="7">
        <v>-1.0091999999999643</v>
      </c>
      <c r="H418" s="7">
        <f>Ventas[[#This Row],[SUBTOTAL]]+Ventas[[#This Row],[IVA]]+Ventas[[#This Row],[DESCUENTO/EXTRA]]</f>
        <v>522</v>
      </c>
      <c r="I418" t="s">
        <v>23</v>
      </c>
      <c r="J418" t="s">
        <v>51</v>
      </c>
      <c r="K418" t="s">
        <v>25</v>
      </c>
      <c r="L418" t="s">
        <v>16</v>
      </c>
    </row>
    <row r="419" spans="1:12">
      <c r="A419" s="3">
        <v>45330</v>
      </c>
      <c r="B419" t="s">
        <v>17</v>
      </c>
      <c r="C419" s="5">
        <v>19</v>
      </c>
      <c r="D419" s="7">
        <v>36</v>
      </c>
      <c r="E419" s="7">
        <f>Ventas[[#This Row],[CANTIDAD]]*Ventas[[#This Row],[PRECIO_UNIT]]</f>
        <v>684</v>
      </c>
      <c r="F419" s="7">
        <f>Ventas[[#This Row],[SUBTOTAL]]*0.16</f>
        <v>109.44</v>
      </c>
      <c r="G419" s="7">
        <v>-10.830000000000041</v>
      </c>
      <c r="H419" s="7">
        <f>Ventas[[#This Row],[SUBTOTAL]]+Ventas[[#This Row],[IVA]]+Ventas[[#This Row],[DESCUENTO/EXTRA]]</f>
        <v>782.61</v>
      </c>
      <c r="I419" t="s">
        <v>18</v>
      </c>
      <c r="J419" t="s">
        <v>38</v>
      </c>
      <c r="K419" t="s">
        <v>15</v>
      </c>
      <c r="L419" t="s">
        <v>16</v>
      </c>
    </row>
    <row r="420" spans="1:12">
      <c r="A420" s="3">
        <v>45331</v>
      </c>
      <c r="B420" t="s">
        <v>35</v>
      </c>
      <c r="C420" s="5">
        <v>22</v>
      </c>
      <c r="D420" s="7">
        <v>28.01</v>
      </c>
      <c r="E420" s="7">
        <f>Ventas[[#This Row],[CANTIDAD]]*Ventas[[#This Row],[PRECIO_UNIT]]</f>
        <v>616.22</v>
      </c>
      <c r="F420" s="7">
        <f>Ventas[[#This Row],[SUBTOTAL]]*0.16</f>
        <v>98.595200000000006</v>
      </c>
      <c r="G420" s="7">
        <v>0.18479999999999563</v>
      </c>
      <c r="H420" s="7">
        <f>Ventas[[#This Row],[SUBTOTAL]]+Ventas[[#This Row],[IVA]]+Ventas[[#This Row],[DESCUENTO/EXTRA]]</f>
        <v>715</v>
      </c>
      <c r="I420" t="s">
        <v>23</v>
      </c>
      <c r="J420" t="s">
        <v>36</v>
      </c>
      <c r="K420" t="s">
        <v>15</v>
      </c>
      <c r="L420" t="s">
        <v>16</v>
      </c>
    </row>
    <row r="421" spans="1:12">
      <c r="A421" s="3">
        <v>45332</v>
      </c>
      <c r="B421" t="s">
        <v>45</v>
      </c>
      <c r="C421" s="5">
        <v>16</v>
      </c>
      <c r="D421" s="7">
        <v>46.47</v>
      </c>
      <c r="E421" s="7">
        <f>Ventas[[#This Row],[CANTIDAD]]*Ventas[[#This Row],[PRECIO_UNIT]]</f>
        <v>743.52</v>
      </c>
      <c r="F421" s="7">
        <f>Ventas[[#This Row],[SUBTOTAL]]*0.16</f>
        <v>118.9632</v>
      </c>
      <c r="G421" s="7">
        <v>-0.48320000000001073</v>
      </c>
      <c r="H421" s="7">
        <f>Ventas[[#This Row],[SUBTOTAL]]+Ventas[[#This Row],[IVA]]+Ventas[[#This Row],[DESCUENTO/EXTRA]]</f>
        <v>862</v>
      </c>
      <c r="I421" t="s">
        <v>41</v>
      </c>
      <c r="J421" t="s">
        <v>52</v>
      </c>
      <c r="K421" t="s">
        <v>15</v>
      </c>
      <c r="L421" t="s">
        <v>16</v>
      </c>
    </row>
    <row r="422" spans="1:12">
      <c r="A422" s="3">
        <v>45334</v>
      </c>
      <c r="B422" t="s">
        <v>45</v>
      </c>
      <c r="C422" s="5">
        <v>7</v>
      </c>
      <c r="D422" s="7">
        <v>46.59</v>
      </c>
      <c r="E422" s="7">
        <f>Ventas[[#This Row],[CANTIDAD]]*Ventas[[#This Row],[PRECIO_UNIT]]</f>
        <v>326.13</v>
      </c>
      <c r="F422" s="7">
        <f>Ventas[[#This Row],[SUBTOTAL]]*0.16</f>
        <v>52.180799999999998</v>
      </c>
      <c r="G422" s="7">
        <v>-2.0799999999951524E-2</v>
      </c>
      <c r="H422" s="7">
        <f>Ventas[[#This Row],[SUBTOTAL]]+Ventas[[#This Row],[IVA]]+Ventas[[#This Row],[DESCUENTO/EXTRA]]</f>
        <v>378.29</v>
      </c>
      <c r="I422" t="s">
        <v>13</v>
      </c>
      <c r="J422" t="s">
        <v>29</v>
      </c>
      <c r="K422" t="s">
        <v>15</v>
      </c>
      <c r="L422" t="s">
        <v>16</v>
      </c>
    </row>
    <row r="423" spans="1:12">
      <c r="A423" s="3">
        <v>45335</v>
      </c>
      <c r="B423" t="s">
        <v>43</v>
      </c>
      <c r="C423" s="5">
        <v>30</v>
      </c>
      <c r="D423" s="7">
        <v>28.23</v>
      </c>
      <c r="E423" s="7">
        <f>Ventas[[#This Row],[CANTIDAD]]*Ventas[[#This Row],[PRECIO_UNIT]]</f>
        <v>846.9</v>
      </c>
      <c r="F423" s="7">
        <f>Ventas[[#This Row],[SUBTOTAL]]*0.16</f>
        <v>135.50399999999999</v>
      </c>
      <c r="G423" s="7">
        <v>-0.40399999999999636</v>
      </c>
      <c r="H423" s="7">
        <f>Ventas[[#This Row],[SUBTOTAL]]+Ventas[[#This Row],[IVA]]+Ventas[[#This Row],[DESCUENTO/EXTRA]]</f>
        <v>982</v>
      </c>
      <c r="I423" t="s">
        <v>18</v>
      </c>
      <c r="J423" t="s">
        <v>44</v>
      </c>
      <c r="K423" t="s">
        <v>15</v>
      </c>
      <c r="L423" t="s">
        <v>16</v>
      </c>
    </row>
    <row r="424" spans="1:12">
      <c r="A424" s="3">
        <v>45335</v>
      </c>
      <c r="B424" t="s">
        <v>26</v>
      </c>
      <c r="C424" s="5">
        <v>7</v>
      </c>
      <c r="D424" s="7">
        <v>39.07</v>
      </c>
      <c r="E424" s="7">
        <f>Ventas[[#This Row],[CANTIDAD]]*Ventas[[#This Row],[PRECIO_UNIT]]</f>
        <v>273.49</v>
      </c>
      <c r="F424" s="7">
        <f>Ventas[[#This Row],[SUBTOTAL]]*0.16</f>
        <v>43.758400000000002</v>
      </c>
      <c r="G424" s="7">
        <v>1.5999999999962711E-3</v>
      </c>
      <c r="H424" s="7">
        <f>Ventas[[#This Row],[SUBTOTAL]]+Ventas[[#This Row],[IVA]]+Ventas[[#This Row],[DESCUENTO/EXTRA]]</f>
        <v>317.25</v>
      </c>
      <c r="I424" t="s">
        <v>18</v>
      </c>
      <c r="J424" t="s">
        <v>24</v>
      </c>
      <c r="K424" t="s">
        <v>15</v>
      </c>
      <c r="L424" t="s">
        <v>16</v>
      </c>
    </row>
    <row r="425" spans="1:12">
      <c r="A425" s="3">
        <v>45336</v>
      </c>
      <c r="B425" t="s">
        <v>43</v>
      </c>
      <c r="C425" s="5">
        <v>25</v>
      </c>
      <c r="D425" s="7">
        <v>30</v>
      </c>
      <c r="E425" s="7">
        <f>Ventas[[#This Row],[CANTIDAD]]*Ventas[[#This Row],[PRECIO_UNIT]]</f>
        <v>750</v>
      </c>
      <c r="F425" s="7">
        <f>Ventas[[#This Row],[SUBTOTAL]]*0.16</f>
        <v>120</v>
      </c>
      <c r="G425" s="7">
        <v>-12.899999999999977</v>
      </c>
      <c r="H425" s="7">
        <f>Ventas[[#This Row],[SUBTOTAL]]+Ventas[[#This Row],[IVA]]+Ventas[[#This Row],[DESCUENTO/EXTRA]]</f>
        <v>857.1</v>
      </c>
      <c r="I425" t="s">
        <v>23</v>
      </c>
      <c r="J425" t="s">
        <v>31</v>
      </c>
      <c r="K425" t="s">
        <v>15</v>
      </c>
      <c r="L425" t="s">
        <v>16</v>
      </c>
    </row>
    <row r="426" spans="1:12">
      <c r="A426" s="3">
        <v>45336</v>
      </c>
      <c r="B426" t="s">
        <v>22</v>
      </c>
      <c r="C426" s="5">
        <v>27</v>
      </c>
      <c r="D426" s="7">
        <v>21.06</v>
      </c>
      <c r="E426" s="7">
        <f>Ventas[[#This Row],[CANTIDAD]]*Ventas[[#This Row],[PRECIO_UNIT]]</f>
        <v>568.62</v>
      </c>
      <c r="F426" s="7">
        <f>Ventas[[#This Row],[SUBTOTAL]]*0.16</f>
        <v>90.979200000000006</v>
      </c>
      <c r="G426" s="7">
        <v>6.0799999999971988E-2</v>
      </c>
      <c r="H426" s="7">
        <f>Ventas[[#This Row],[SUBTOTAL]]+Ventas[[#This Row],[IVA]]+Ventas[[#This Row],[DESCUENTO/EXTRA]]</f>
        <v>659.66</v>
      </c>
      <c r="I426" t="s">
        <v>13</v>
      </c>
      <c r="J426" t="s">
        <v>33</v>
      </c>
      <c r="K426" t="s">
        <v>25</v>
      </c>
      <c r="L426" t="s">
        <v>16</v>
      </c>
    </row>
    <row r="427" spans="1:12">
      <c r="A427" s="3">
        <v>45336</v>
      </c>
      <c r="B427" t="s">
        <v>40</v>
      </c>
      <c r="C427" s="5">
        <v>22</v>
      </c>
      <c r="D427" s="7">
        <v>35.479999999999997</v>
      </c>
      <c r="E427" s="7">
        <f>Ventas[[#This Row],[CANTIDAD]]*Ventas[[#This Row],[PRECIO_UNIT]]</f>
        <v>780.56</v>
      </c>
      <c r="F427" s="7">
        <f>Ventas[[#This Row],[SUBTOTAL]]*0.16</f>
        <v>124.88959999999999</v>
      </c>
      <c r="G427" s="7">
        <v>5.0400000000081491E-2</v>
      </c>
      <c r="H427" s="7">
        <f>Ventas[[#This Row],[SUBTOTAL]]+Ventas[[#This Row],[IVA]]+Ventas[[#This Row],[DESCUENTO/EXTRA]]</f>
        <v>905.5</v>
      </c>
      <c r="I427" t="s">
        <v>18</v>
      </c>
      <c r="J427" t="s">
        <v>33</v>
      </c>
      <c r="K427" t="s">
        <v>25</v>
      </c>
      <c r="L427" t="s">
        <v>16</v>
      </c>
    </row>
    <row r="428" spans="1:12">
      <c r="A428" s="3">
        <v>45339</v>
      </c>
      <c r="B428" t="s">
        <v>22</v>
      </c>
      <c r="C428" s="5">
        <v>10</v>
      </c>
      <c r="D428" s="7">
        <v>20</v>
      </c>
      <c r="E428" s="7">
        <f>Ventas[[#This Row],[CANTIDAD]]*Ventas[[#This Row],[PRECIO_UNIT]]</f>
        <v>200</v>
      </c>
      <c r="F428" s="7">
        <f>Ventas[[#This Row],[SUBTOTAL]]*0.16</f>
        <v>32</v>
      </c>
      <c r="G428" s="7">
        <v>5.5300000000000011</v>
      </c>
      <c r="H428" s="7">
        <f>Ventas[[#This Row],[SUBTOTAL]]+Ventas[[#This Row],[IVA]]+Ventas[[#This Row],[DESCUENTO/EXTRA]]</f>
        <v>237.53</v>
      </c>
      <c r="I428" t="s">
        <v>18</v>
      </c>
      <c r="J428" t="s">
        <v>47</v>
      </c>
      <c r="K428" t="s">
        <v>15</v>
      </c>
      <c r="L428" t="s">
        <v>16</v>
      </c>
    </row>
    <row r="429" spans="1:12">
      <c r="A429" s="3">
        <v>45339</v>
      </c>
      <c r="B429" t="s">
        <v>17</v>
      </c>
      <c r="C429" s="5">
        <v>20</v>
      </c>
      <c r="D429" s="7">
        <v>33.61</v>
      </c>
      <c r="E429" s="7">
        <f>Ventas[[#This Row],[CANTIDAD]]*Ventas[[#This Row],[PRECIO_UNIT]]</f>
        <v>672.2</v>
      </c>
      <c r="F429" s="7">
        <f>Ventas[[#This Row],[SUBTOTAL]]*0.16</f>
        <v>107.55200000000001</v>
      </c>
      <c r="G429" s="7">
        <v>9.7999999999956344E-2</v>
      </c>
      <c r="H429" s="7">
        <f>Ventas[[#This Row],[SUBTOTAL]]+Ventas[[#This Row],[IVA]]+Ventas[[#This Row],[DESCUENTO/EXTRA]]</f>
        <v>779.85</v>
      </c>
      <c r="I429" t="s">
        <v>23</v>
      </c>
      <c r="J429" t="s">
        <v>56</v>
      </c>
      <c r="K429" t="s">
        <v>15</v>
      </c>
      <c r="L429" t="s">
        <v>16</v>
      </c>
    </row>
    <row r="430" spans="1:12">
      <c r="A430" s="3">
        <v>45339</v>
      </c>
      <c r="B430" t="s">
        <v>22</v>
      </c>
      <c r="C430" s="5">
        <v>17</v>
      </c>
      <c r="D430" s="7">
        <v>21.72</v>
      </c>
      <c r="E430" s="7">
        <f>Ventas[[#This Row],[CANTIDAD]]*Ventas[[#This Row],[PRECIO_UNIT]]</f>
        <v>369.24</v>
      </c>
      <c r="F430" s="7">
        <f>Ventas[[#This Row],[SUBTOTAL]]*0.16</f>
        <v>59.078400000000002</v>
      </c>
      <c r="G430" s="7">
        <v>-0.31839999999999691</v>
      </c>
      <c r="H430" s="7">
        <f>Ventas[[#This Row],[SUBTOTAL]]+Ventas[[#This Row],[IVA]]+Ventas[[#This Row],[DESCUENTO/EXTRA]]</f>
        <v>428</v>
      </c>
      <c r="I430" t="s">
        <v>23</v>
      </c>
      <c r="J430" t="s">
        <v>36</v>
      </c>
      <c r="K430" t="s">
        <v>15</v>
      </c>
      <c r="L430" t="s">
        <v>16</v>
      </c>
    </row>
    <row r="431" spans="1:12">
      <c r="A431" s="3">
        <v>45339</v>
      </c>
      <c r="B431" t="s">
        <v>20</v>
      </c>
      <c r="C431" s="5">
        <v>18</v>
      </c>
      <c r="D431" s="7">
        <v>11</v>
      </c>
      <c r="E431" s="7">
        <f>Ventas[[#This Row],[CANTIDAD]]*Ventas[[#This Row],[PRECIO_UNIT]]</f>
        <v>198</v>
      </c>
      <c r="F431" s="7">
        <f>Ventas[[#This Row],[SUBTOTAL]]*0.16</f>
        <v>31.68</v>
      </c>
      <c r="G431" s="7">
        <v>1.3199999999999932</v>
      </c>
      <c r="H431" s="7">
        <f>Ventas[[#This Row],[SUBTOTAL]]+Ventas[[#This Row],[IVA]]+Ventas[[#This Row],[DESCUENTO/EXTRA]]</f>
        <v>231</v>
      </c>
      <c r="I431" t="s">
        <v>13</v>
      </c>
      <c r="J431" t="s">
        <v>55</v>
      </c>
      <c r="K431" t="s">
        <v>25</v>
      </c>
      <c r="L431" t="s">
        <v>16</v>
      </c>
    </row>
    <row r="432" spans="1:12">
      <c r="A432" s="3">
        <v>45340</v>
      </c>
      <c r="B432" t="s">
        <v>22</v>
      </c>
      <c r="C432" s="5">
        <v>11</v>
      </c>
      <c r="D432" s="7">
        <v>23</v>
      </c>
      <c r="E432" s="7">
        <f>Ventas[[#This Row],[CANTIDAD]]*Ventas[[#This Row],[PRECIO_UNIT]]</f>
        <v>253</v>
      </c>
      <c r="F432" s="7">
        <f>Ventas[[#This Row],[SUBTOTAL]]*0.16</f>
        <v>40.480000000000004</v>
      </c>
      <c r="G432" s="7">
        <v>-1.8400000000000318</v>
      </c>
      <c r="H432" s="7">
        <f>Ventas[[#This Row],[SUBTOTAL]]+Ventas[[#This Row],[IVA]]+Ventas[[#This Row],[DESCUENTO/EXTRA]]</f>
        <v>291.64</v>
      </c>
      <c r="I432" t="s">
        <v>32</v>
      </c>
      <c r="J432" t="s">
        <v>42</v>
      </c>
      <c r="K432" t="s">
        <v>25</v>
      </c>
      <c r="L432" t="s">
        <v>16</v>
      </c>
    </row>
    <row r="433" spans="1:12">
      <c r="A433" s="3">
        <v>45342</v>
      </c>
      <c r="B433" t="s">
        <v>22</v>
      </c>
      <c r="C433" s="5">
        <v>11</v>
      </c>
      <c r="D433" s="7">
        <v>22.09</v>
      </c>
      <c r="E433" s="7">
        <f>Ventas[[#This Row],[CANTIDAD]]*Ventas[[#This Row],[PRECIO_UNIT]]</f>
        <v>242.99</v>
      </c>
      <c r="F433" s="7">
        <f>Ventas[[#This Row],[SUBTOTAL]]*0.16</f>
        <v>38.878399999999999</v>
      </c>
      <c r="G433" s="7">
        <v>-2.8400000000033288E-2</v>
      </c>
      <c r="H433" s="7">
        <f>Ventas[[#This Row],[SUBTOTAL]]+Ventas[[#This Row],[IVA]]+Ventas[[#This Row],[DESCUENTO/EXTRA]]</f>
        <v>281.83999999999997</v>
      </c>
      <c r="I433" t="s">
        <v>23</v>
      </c>
      <c r="J433" t="s">
        <v>44</v>
      </c>
      <c r="K433" t="s">
        <v>15</v>
      </c>
      <c r="L433" t="s">
        <v>16</v>
      </c>
    </row>
    <row r="434" spans="1:12">
      <c r="A434" s="3">
        <v>45342</v>
      </c>
      <c r="B434" t="s">
        <v>46</v>
      </c>
      <c r="C434" s="5">
        <v>23</v>
      </c>
      <c r="D434" s="7">
        <v>29.01</v>
      </c>
      <c r="E434" s="7">
        <f>Ventas[[#This Row],[CANTIDAD]]*Ventas[[#This Row],[PRECIO_UNIT]]</f>
        <v>667.23</v>
      </c>
      <c r="F434" s="7">
        <f>Ventas[[#This Row],[SUBTOTAL]]*0.16</f>
        <v>106.7568</v>
      </c>
      <c r="G434" s="7">
        <v>-0.13679999999999382</v>
      </c>
      <c r="H434" s="7">
        <f>Ventas[[#This Row],[SUBTOTAL]]+Ventas[[#This Row],[IVA]]+Ventas[[#This Row],[DESCUENTO/EXTRA]]</f>
        <v>773.85</v>
      </c>
      <c r="I434" t="s">
        <v>23</v>
      </c>
      <c r="J434" t="s">
        <v>14</v>
      </c>
      <c r="K434" t="s">
        <v>25</v>
      </c>
      <c r="L434" t="s">
        <v>16</v>
      </c>
    </row>
    <row r="435" spans="1:12">
      <c r="A435" s="3">
        <v>45342</v>
      </c>
      <c r="B435" t="s">
        <v>17</v>
      </c>
      <c r="C435" s="5">
        <v>9</v>
      </c>
      <c r="D435" s="7">
        <v>37</v>
      </c>
      <c r="E435" s="7">
        <f>Ventas[[#This Row],[CANTIDAD]]*Ventas[[#This Row],[PRECIO_UNIT]]</f>
        <v>333</v>
      </c>
      <c r="F435" s="7">
        <f>Ventas[[#This Row],[SUBTOTAL]]*0.16</f>
        <v>53.28</v>
      </c>
      <c r="G435" s="7">
        <v>3.7200000000000273</v>
      </c>
      <c r="H435" s="7">
        <f>Ventas[[#This Row],[SUBTOTAL]]+Ventas[[#This Row],[IVA]]+Ventas[[#This Row],[DESCUENTO/EXTRA]]</f>
        <v>390</v>
      </c>
      <c r="I435" t="s">
        <v>23</v>
      </c>
      <c r="J435" t="s">
        <v>39</v>
      </c>
      <c r="K435" t="s">
        <v>25</v>
      </c>
      <c r="L435" t="s">
        <v>16</v>
      </c>
    </row>
    <row r="436" spans="1:12">
      <c r="A436" s="3">
        <v>45343</v>
      </c>
      <c r="B436" t="s">
        <v>17</v>
      </c>
      <c r="C436" s="5">
        <v>9</v>
      </c>
      <c r="D436" s="7">
        <v>36.65</v>
      </c>
      <c r="E436" s="7">
        <f>Ventas[[#This Row],[CANTIDAD]]*Ventas[[#This Row],[PRECIO_UNIT]]</f>
        <v>329.84999999999997</v>
      </c>
      <c r="F436" s="7">
        <f>Ventas[[#This Row],[SUBTOTAL]]*0.16</f>
        <v>52.775999999999996</v>
      </c>
      <c r="G436" s="7">
        <v>-2.5999999999953616E-2</v>
      </c>
      <c r="H436" s="7">
        <f>Ventas[[#This Row],[SUBTOTAL]]+Ventas[[#This Row],[IVA]]+Ventas[[#This Row],[DESCUENTO/EXTRA]]</f>
        <v>382.6</v>
      </c>
      <c r="I436" t="s">
        <v>18</v>
      </c>
      <c r="J436" t="s">
        <v>30</v>
      </c>
      <c r="K436" t="s">
        <v>25</v>
      </c>
      <c r="L436" t="s">
        <v>16</v>
      </c>
    </row>
    <row r="437" spans="1:12">
      <c r="A437" s="3">
        <v>45343</v>
      </c>
      <c r="B437" t="s">
        <v>37</v>
      </c>
      <c r="C437" s="5">
        <v>1</v>
      </c>
      <c r="D437" s="7">
        <v>23.54</v>
      </c>
      <c r="E437" s="7">
        <f>Ventas[[#This Row],[CANTIDAD]]*Ventas[[#This Row],[PRECIO_UNIT]]</f>
        <v>23.54</v>
      </c>
      <c r="F437" s="7">
        <f>Ventas[[#This Row],[SUBTOTAL]]*0.16</f>
        <v>3.7664</v>
      </c>
      <c r="G437" s="7">
        <v>3.5999999999987153E-3</v>
      </c>
      <c r="H437" s="7">
        <f>Ventas[[#This Row],[SUBTOTAL]]+Ventas[[#This Row],[IVA]]+Ventas[[#This Row],[DESCUENTO/EXTRA]]</f>
        <v>27.31</v>
      </c>
      <c r="I437" t="s">
        <v>23</v>
      </c>
      <c r="J437" t="s">
        <v>54</v>
      </c>
      <c r="K437" t="s">
        <v>15</v>
      </c>
      <c r="L437" t="s">
        <v>16</v>
      </c>
    </row>
    <row r="438" spans="1:12">
      <c r="A438" s="3">
        <v>45344</v>
      </c>
      <c r="B438" t="s">
        <v>37</v>
      </c>
      <c r="C438" s="5">
        <v>12</v>
      </c>
      <c r="D438" s="7">
        <v>24.27</v>
      </c>
      <c r="E438" s="7">
        <f>Ventas[[#This Row],[CANTIDAD]]*Ventas[[#This Row],[PRECIO_UNIT]]</f>
        <v>291.24</v>
      </c>
      <c r="F438" s="7">
        <f>Ventas[[#This Row],[SUBTOTAL]]*0.16</f>
        <v>46.598400000000005</v>
      </c>
      <c r="G438" s="7">
        <v>-2.8400000000033288E-2</v>
      </c>
      <c r="H438" s="7">
        <f>Ventas[[#This Row],[SUBTOTAL]]+Ventas[[#This Row],[IVA]]+Ventas[[#This Row],[DESCUENTO/EXTRA]]</f>
        <v>337.81</v>
      </c>
      <c r="I438" t="s">
        <v>18</v>
      </c>
      <c r="J438" t="s">
        <v>19</v>
      </c>
      <c r="K438" t="s">
        <v>15</v>
      </c>
      <c r="L438" t="s">
        <v>16</v>
      </c>
    </row>
    <row r="439" spans="1:12">
      <c r="A439" s="3">
        <v>45344</v>
      </c>
      <c r="B439" t="s">
        <v>40</v>
      </c>
      <c r="C439" s="5">
        <v>24</v>
      </c>
      <c r="D439" s="7">
        <v>31.39</v>
      </c>
      <c r="E439" s="7">
        <f>Ventas[[#This Row],[CANTIDAD]]*Ventas[[#This Row],[PRECIO_UNIT]]</f>
        <v>753.36</v>
      </c>
      <c r="F439" s="7">
        <f>Ventas[[#This Row],[SUBTOTAL]]*0.16</f>
        <v>120.5376</v>
      </c>
      <c r="G439" s="7">
        <v>-8.7600000000065847E-2</v>
      </c>
      <c r="H439" s="7">
        <f>Ventas[[#This Row],[SUBTOTAL]]+Ventas[[#This Row],[IVA]]+Ventas[[#This Row],[DESCUENTO/EXTRA]]</f>
        <v>873.81</v>
      </c>
      <c r="I439" t="s">
        <v>23</v>
      </c>
      <c r="J439" t="s">
        <v>30</v>
      </c>
      <c r="K439" t="s">
        <v>25</v>
      </c>
      <c r="L439" t="s">
        <v>16</v>
      </c>
    </row>
    <row r="440" spans="1:12">
      <c r="A440" s="3">
        <v>45347</v>
      </c>
      <c r="B440" t="s">
        <v>12</v>
      </c>
      <c r="C440" s="5">
        <v>8</v>
      </c>
      <c r="D440" s="7">
        <v>58</v>
      </c>
      <c r="E440" s="7">
        <f>Ventas[[#This Row],[CANTIDAD]]*Ventas[[#This Row],[PRECIO_UNIT]]</f>
        <v>464</v>
      </c>
      <c r="F440" s="7">
        <f>Ventas[[#This Row],[SUBTOTAL]]*0.16</f>
        <v>74.239999999999995</v>
      </c>
      <c r="G440" s="7">
        <v>-0.24000000000000909</v>
      </c>
      <c r="H440" s="7">
        <f>Ventas[[#This Row],[SUBTOTAL]]+Ventas[[#This Row],[IVA]]+Ventas[[#This Row],[DESCUENTO/EXTRA]]</f>
        <v>538</v>
      </c>
      <c r="I440" t="s">
        <v>23</v>
      </c>
      <c r="J440" t="s">
        <v>30</v>
      </c>
      <c r="K440" t="s">
        <v>15</v>
      </c>
      <c r="L440" t="s">
        <v>16</v>
      </c>
    </row>
    <row r="441" spans="1:12">
      <c r="A441" s="3">
        <v>45347</v>
      </c>
      <c r="B441" t="s">
        <v>26</v>
      </c>
      <c r="C441" s="5">
        <v>10</v>
      </c>
      <c r="D441" s="7">
        <v>38</v>
      </c>
      <c r="E441" s="7">
        <f>Ventas[[#This Row],[CANTIDAD]]*Ventas[[#This Row],[PRECIO_UNIT]]</f>
        <v>380</v>
      </c>
      <c r="F441" s="7">
        <f>Ventas[[#This Row],[SUBTOTAL]]*0.16</f>
        <v>60.800000000000004</v>
      </c>
      <c r="G441" s="7">
        <v>0.19999999999998863</v>
      </c>
      <c r="H441" s="7">
        <f>Ventas[[#This Row],[SUBTOTAL]]+Ventas[[#This Row],[IVA]]+Ventas[[#This Row],[DESCUENTO/EXTRA]]</f>
        <v>441</v>
      </c>
      <c r="I441" t="s">
        <v>32</v>
      </c>
      <c r="J441" t="s">
        <v>34</v>
      </c>
      <c r="K441" t="s">
        <v>15</v>
      </c>
      <c r="L441" t="s">
        <v>16</v>
      </c>
    </row>
    <row r="442" spans="1:12">
      <c r="A442" s="3">
        <v>45348</v>
      </c>
      <c r="B442" t="s">
        <v>28</v>
      </c>
      <c r="C442" s="5">
        <v>24</v>
      </c>
      <c r="D442" s="7">
        <v>76.73</v>
      </c>
      <c r="E442" s="7">
        <f>Ventas[[#This Row],[CANTIDAD]]*Ventas[[#This Row],[PRECIO_UNIT]]</f>
        <v>1841.52</v>
      </c>
      <c r="F442" s="7">
        <f>Ventas[[#This Row],[SUBTOTAL]]*0.16</f>
        <v>294.64319999999998</v>
      </c>
      <c r="G442" s="7">
        <v>4.680000000007567E-2</v>
      </c>
      <c r="H442" s="7">
        <f>Ventas[[#This Row],[SUBTOTAL]]+Ventas[[#This Row],[IVA]]+Ventas[[#This Row],[DESCUENTO/EXTRA]]</f>
        <v>2136.21</v>
      </c>
      <c r="I442" t="s">
        <v>32</v>
      </c>
      <c r="J442" t="s">
        <v>49</v>
      </c>
      <c r="K442" t="s">
        <v>25</v>
      </c>
      <c r="L442" t="s">
        <v>16</v>
      </c>
    </row>
    <row r="443" spans="1:12">
      <c r="A443" s="3">
        <v>45348</v>
      </c>
      <c r="B443" t="s">
        <v>22</v>
      </c>
      <c r="C443" s="5">
        <v>12</v>
      </c>
      <c r="D443" s="7">
        <v>22.58</v>
      </c>
      <c r="E443" s="7">
        <f>Ventas[[#This Row],[CANTIDAD]]*Ventas[[#This Row],[PRECIO_UNIT]]</f>
        <v>270.95999999999998</v>
      </c>
      <c r="F443" s="7">
        <f>Ventas[[#This Row],[SUBTOTAL]]*0.16</f>
        <v>43.3536</v>
      </c>
      <c r="G443" s="7">
        <v>6.6400000000044201E-2</v>
      </c>
      <c r="H443" s="7">
        <f>Ventas[[#This Row],[SUBTOTAL]]+Ventas[[#This Row],[IVA]]+Ventas[[#This Row],[DESCUENTO/EXTRA]]</f>
        <v>314.38</v>
      </c>
      <c r="I443" t="s">
        <v>23</v>
      </c>
      <c r="J443" t="s">
        <v>49</v>
      </c>
      <c r="K443" t="s">
        <v>15</v>
      </c>
      <c r="L443" t="s">
        <v>16</v>
      </c>
    </row>
    <row r="444" spans="1:12">
      <c r="A444" s="3">
        <v>45348</v>
      </c>
      <c r="B444" t="s">
        <v>35</v>
      </c>
      <c r="C444" s="5">
        <v>11</v>
      </c>
      <c r="D444" s="7">
        <v>24.45</v>
      </c>
      <c r="E444" s="7">
        <f>Ventas[[#This Row],[CANTIDAD]]*Ventas[[#This Row],[PRECIO_UNIT]]</f>
        <v>268.95</v>
      </c>
      <c r="F444" s="7">
        <f>Ventas[[#This Row],[SUBTOTAL]]*0.16</f>
        <v>43.031999999999996</v>
      </c>
      <c r="G444" s="7">
        <v>8.0000000000381988E-3</v>
      </c>
      <c r="H444" s="7">
        <f>Ventas[[#This Row],[SUBTOTAL]]+Ventas[[#This Row],[IVA]]+Ventas[[#This Row],[DESCUENTO/EXTRA]]</f>
        <v>311.99</v>
      </c>
      <c r="I444" t="s">
        <v>18</v>
      </c>
      <c r="J444" t="s">
        <v>54</v>
      </c>
      <c r="K444" t="s">
        <v>15</v>
      </c>
      <c r="L444" t="s">
        <v>16</v>
      </c>
    </row>
    <row r="445" spans="1:12">
      <c r="A445" s="3">
        <v>45351</v>
      </c>
      <c r="B445" t="s">
        <v>45</v>
      </c>
      <c r="C445" s="5">
        <v>22</v>
      </c>
      <c r="D445" s="7">
        <v>44</v>
      </c>
      <c r="E445" s="7">
        <f>Ventas[[#This Row],[CANTIDAD]]*Ventas[[#This Row],[PRECIO_UNIT]]</f>
        <v>968</v>
      </c>
      <c r="F445" s="7">
        <f>Ventas[[#This Row],[SUBTOTAL]]*0.16</f>
        <v>154.88</v>
      </c>
      <c r="G445" s="7">
        <v>8.1299999999998818</v>
      </c>
      <c r="H445" s="7">
        <f>Ventas[[#This Row],[SUBTOTAL]]+Ventas[[#This Row],[IVA]]+Ventas[[#This Row],[DESCUENTO/EXTRA]]</f>
        <v>1131.01</v>
      </c>
      <c r="I445" t="s">
        <v>23</v>
      </c>
      <c r="J445" t="s">
        <v>33</v>
      </c>
      <c r="K445" t="s">
        <v>15</v>
      </c>
      <c r="L445" t="s">
        <v>16</v>
      </c>
    </row>
    <row r="446" spans="1:12">
      <c r="A446" s="3">
        <v>45352</v>
      </c>
      <c r="B446" t="s">
        <v>26</v>
      </c>
      <c r="C446" s="5">
        <v>1</v>
      </c>
      <c r="D446" s="7">
        <v>38.729999999999997</v>
      </c>
      <c r="E446" s="7">
        <f>Ventas[[#This Row],[CANTIDAD]]*Ventas[[#This Row],[PRECIO_UNIT]]</f>
        <v>38.729999999999997</v>
      </c>
      <c r="F446" s="7">
        <f>Ventas[[#This Row],[SUBTOTAL]]*0.16</f>
        <v>6.1967999999999996</v>
      </c>
      <c r="G446" s="7">
        <v>3.1999999999996476E-3</v>
      </c>
      <c r="H446" s="7">
        <f>Ventas[[#This Row],[SUBTOTAL]]+Ventas[[#This Row],[IVA]]+Ventas[[#This Row],[DESCUENTO/EXTRA]]</f>
        <v>44.93</v>
      </c>
      <c r="I446" t="s">
        <v>13</v>
      </c>
      <c r="J446" t="s">
        <v>27</v>
      </c>
      <c r="K446" t="s">
        <v>25</v>
      </c>
      <c r="L446" t="s">
        <v>16</v>
      </c>
    </row>
    <row r="447" spans="1:12">
      <c r="A447" s="3">
        <v>45354</v>
      </c>
      <c r="B447" t="s">
        <v>28</v>
      </c>
      <c r="C447" s="5">
        <v>3</v>
      </c>
      <c r="D447" s="7">
        <v>81.55</v>
      </c>
      <c r="E447" s="7">
        <f>Ventas[[#This Row],[CANTIDAD]]*Ventas[[#This Row],[PRECIO_UNIT]]</f>
        <v>244.64999999999998</v>
      </c>
      <c r="F447" s="7">
        <f>Ventas[[#This Row],[SUBTOTAL]]*0.16</f>
        <v>39.143999999999998</v>
      </c>
      <c r="G447" s="7">
        <v>-3.999999999962256E-3</v>
      </c>
      <c r="H447" s="7">
        <f>Ventas[[#This Row],[SUBTOTAL]]+Ventas[[#This Row],[IVA]]+Ventas[[#This Row],[DESCUENTO/EXTRA]]</f>
        <v>283.79000000000002</v>
      </c>
      <c r="I447" t="s">
        <v>18</v>
      </c>
      <c r="J447" t="s">
        <v>39</v>
      </c>
      <c r="K447" t="s">
        <v>15</v>
      </c>
      <c r="L447" t="s">
        <v>16</v>
      </c>
    </row>
    <row r="448" spans="1:12">
      <c r="A448" s="3">
        <v>45356</v>
      </c>
      <c r="B448" t="s">
        <v>40</v>
      </c>
      <c r="C448" s="5">
        <v>3</v>
      </c>
      <c r="D448" s="7">
        <v>32</v>
      </c>
      <c r="E448" s="7">
        <f>Ventas[[#This Row],[CANTIDAD]]*Ventas[[#This Row],[PRECIO_UNIT]]</f>
        <v>96</v>
      </c>
      <c r="F448" s="7">
        <f>Ventas[[#This Row],[SUBTOTAL]]*0.16</f>
        <v>15.36</v>
      </c>
      <c r="G448" s="7">
        <v>-0.35999999999999943</v>
      </c>
      <c r="H448" s="7">
        <f>Ventas[[#This Row],[SUBTOTAL]]+Ventas[[#This Row],[IVA]]+Ventas[[#This Row],[DESCUENTO/EXTRA]]</f>
        <v>111</v>
      </c>
      <c r="I448" t="s">
        <v>18</v>
      </c>
      <c r="J448" t="s">
        <v>49</v>
      </c>
      <c r="K448" t="s">
        <v>15</v>
      </c>
      <c r="L448" t="s">
        <v>16</v>
      </c>
    </row>
    <row r="449" spans="1:12">
      <c r="A449" s="3">
        <v>45358</v>
      </c>
      <c r="B449" t="s">
        <v>46</v>
      </c>
      <c r="C449" s="5">
        <v>27</v>
      </c>
      <c r="D449" s="7">
        <v>28</v>
      </c>
      <c r="E449" s="7">
        <f>Ventas[[#This Row],[CANTIDAD]]*Ventas[[#This Row],[PRECIO_UNIT]]</f>
        <v>756</v>
      </c>
      <c r="F449" s="7">
        <f>Ventas[[#This Row],[SUBTOTAL]]*0.16</f>
        <v>120.96000000000001</v>
      </c>
      <c r="G449" s="7">
        <v>-11.710000000000036</v>
      </c>
      <c r="H449" s="7">
        <f>Ventas[[#This Row],[SUBTOTAL]]+Ventas[[#This Row],[IVA]]+Ventas[[#This Row],[DESCUENTO/EXTRA]]</f>
        <v>865.25</v>
      </c>
      <c r="I449" t="s">
        <v>23</v>
      </c>
      <c r="J449" t="s">
        <v>44</v>
      </c>
      <c r="K449" t="s">
        <v>25</v>
      </c>
      <c r="L449" t="s">
        <v>16</v>
      </c>
    </row>
    <row r="450" spans="1:12">
      <c r="A450" s="3">
        <v>45360</v>
      </c>
      <c r="B450" t="s">
        <v>17</v>
      </c>
      <c r="C450" s="5">
        <v>19</v>
      </c>
      <c r="D450" s="7">
        <v>34.67</v>
      </c>
      <c r="E450" s="7">
        <f>Ventas[[#This Row],[CANTIDAD]]*Ventas[[#This Row],[PRECIO_UNIT]]</f>
        <v>658.73</v>
      </c>
      <c r="F450" s="7">
        <f>Ventas[[#This Row],[SUBTOTAL]]*0.16</f>
        <v>105.3968</v>
      </c>
      <c r="G450" s="7">
        <v>-0.12680000000000291</v>
      </c>
      <c r="H450" s="7">
        <f>Ventas[[#This Row],[SUBTOTAL]]+Ventas[[#This Row],[IVA]]+Ventas[[#This Row],[DESCUENTO/EXTRA]]</f>
        <v>764</v>
      </c>
      <c r="I450" t="s">
        <v>23</v>
      </c>
      <c r="J450" t="s">
        <v>48</v>
      </c>
      <c r="K450" t="s">
        <v>25</v>
      </c>
      <c r="L450" t="s">
        <v>16</v>
      </c>
    </row>
    <row r="451" spans="1:12">
      <c r="A451" s="3">
        <v>45360</v>
      </c>
      <c r="B451" t="s">
        <v>12</v>
      </c>
      <c r="C451" s="5">
        <v>22</v>
      </c>
      <c r="D451" s="7">
        <v>57.37</v>
      </c>
      <c r="E451" s="7">
        <f>Ventas[[#This Row],[CANTIDAD]]*Ventas[[#This Row],[PRECIO_UNIT]]</f>
        <v>1262.1399999999999</v>
      </c>
      <c r="F451" s="7">
        <f>Ventas[[#This Row],[SUBTOTAL]]*0.16</f>
        <v>201.94239999999999</v>
      </c>
      <c r="G451" s="7">
        <v>-7.2399999999788633E-2</v>
      </c>
      <c r="H451" s="7">
        <f>Ventas[[#This Row],[SUBTOTAL]]+Ventas[[#This Row],[IVA]]+Ventas[[#This Row],[DESCUENTO/EXTRA]]</f>
        <v>1464.01</v>
      </c>
      <c r="I451" t="s">
        <v>41</v>
      </c>
      <c r="J451" t="s">
        <v>56</v>
      </c>
      <c r="K451" t="s">
        <v>25</v>
      </c>
      <c r="L451" t="s">
        <v>16</v>
      </c>
    </row>
    <row r="452" spans="1:12">
      <c r="A452" s="3">
        <v>45361</v>
      </c>
      <c r="B452" t="s">
        <v>17</v>
      </c>
      <c r="C452" s="5">
        <v>30</v>
      </c>
      <c r="D452" s="7">
        <v>36.06</v>
      </c>
      <c r="E452" s="7">
        <f>Ventas[[#This Row],[CANTIDAD]]*Ventas[[#This Row],[PRECIO_UNIT]]</f>
        <v>1081.8000000000002</v>
      </c>
      <c r="F452" s="7">
        <f>Ventas[[#This Row],[SUBTOTAL]]*0.16</f>
        <v>173.08800000000002</v>
      </c>
      <c r="G452" s="7">
        <v>-0.16800000000012005</v>
      </c>
      <c r="H452" s="7">
        <f>Ventas[[#This Row],[SUBTOTAL]]+Ventas[[#This Row],[IVA]]+Ventas[[#This Row],[DESCUENTO/EXTRA]]</f>
        <v>1254.72</v>
      </c>
      <c r="I452" t="s">
        <v>18</v>
      </c>
      <c r="J452" t="s">
        <v>54</v>
      </c>
      <c r="K452" t="s">
        <v>25</v>
      </c>
      <c r="L452" t="s">
        <v>16</v>
      </c>
    </row>
    <row r="453" spans="1:12">
      <c r="A453" s="3">
        <v>45362</v>
      </c>
      <c r="B453" t="s">
        <v>37</v>
      </c>
      <c r="C453" s="5">
        <v>17</v>
      </c>
      <c r="D453" s="7">
        <v>23</v>
      </c>
      <c r="E453" s="7">
        <f>Ventas[[#This Row],[CANTIDAD]]*Ventas[[#This Row],[PRECIO_UNIT]]</f>
        <v>391</v>
      </c>
      <c r="F453" s="7">
        <f>Ventas[[#This Row],[SUBTOTAL]]*0.16</f>
        <v>62.56</v>
      </c>
      <c r="G453" s="7">
        <v>-2.1100000000000136</v>
      </c>
      <c r="H453" s="7">
        <f>Ventas[[#This Row],[SUBTOTAL]]+Ventas[[#This Row],[IVA]]+Ventas[[#This Row],[DESCUENTO/EXTRA]]</f>
        <v>451.45</v>
      </c>
      <c r="I453" t="s">
        <v>18</v>
      </c>
      <c r="J453" t="s">
        <v>44</v>
      </c>
      <c r="K453" t="s">
        <v>25</v>
      </c>
      <c r="L453" t="s">
        <v>16</v>
      </c>
    </row>
    <row r="454" spans="1:12">
      <c r="A454" s="3">
        <v>45362</v>
      </c>
      <c r="B454" t="s">
        <v>37</v>
      </c>
      <c r="C454" s="5">
        <v>11</v>
      </c>
      <c r="D454" s="7">
        <v>23</v>
      </c>
      <c r="E454" s="7">
        <f>Ventas[[#This Row],[CANTIDAD]]*Ventas[[#This Row],[PRECIO_UNIT]]</f>
        <v>253</v>
      </c>
      <c r="F454" s="7">
        <f>Ventas[[#This Row],[SUBTOTAL]]*0.16</f>
        <v>40.480000000000004</v>
      </c>
      <c r="G454" s="7">
        <v>2.0699999999999932</v>
      </c>
      <c r="H454" s="7">
        <f>Ventas[[#This Row],[SUBTOTAL]]+Ventas[[#This Row],[IVA]]+Ventas[[#This Row],[DESCUENTO/EXTRA]]</f>
        <v>295.55</v>
      </c>
      <c r="I454" t="s">
        <v>18</v>
      </c>
      <c r="J454" t="s">
        <v>56</v>
      </c>
      <c r="K454" t="s">
        <v>15</v>
      </c>
      <c r="L454" t="s">
        <v>16</v>
      </c>
    </row>
    <row r="455" spans="1:12">
      <c r="A455" s="3">
        <v>45363</v>
      </c>
      <c r="B455" t="s">
        <v>17</v>
      </c>
      <c r="C455" s="5">
        <v>28</v>
      </c>
      <c r="D455" s="7">
        <v>34</v>
      </c>
      <c r="E455" s="7">
        <f>Ventas[[#This Row],[CANTIDAD]]*Ventas[[#This Row],[PRECIO_UNIT]]</f>
        <v>952</v>
      </c>
      <c r="F455" s="7">
        <f>Ventas[[#This Row],[SUBTOTAL]]*0.16</f>
        <v>152.32</v>
      </c>
      <c r="G455" s="7">
        <v>11.310000000000173</v>
      </c>
      <c r="H455" s="7">
        <f>Ventas[[#This Row],[SUBTOTAL]]+Ventas[[#This Row],[IVA]]+Ventas[[#This Row],[DESCUENTO/EXTRA]]</f>
        <v>1115.6300000000001</v>
      </c>
      <c r="I455" t="s">
        <v>23</v>
      </c>
      <c r="J455" t="s">
        <v>49</v>
      </c>
      <c r="K455" t="s">
        <v>25</v>
      </c>
      <c r="L455" t="s">
        <v>16</v>
      </c>
    </row>
    <row r="456" spans="1:12">
      <c r="A456" s="3">
        <v>45364</v>
      </c>
      <c r="B456" t="s">
        <v>46</v>
      </c>
      <c r="C456" s="5">
        <v>6</v>
      </c>
      <c r="D456" s="7">
        <v>26.31</v>
      </c>
      <c r="E456" s="7">
        <f>Ventas[[#This Row],[CANTIDAD]]*Ventas[[#This Row],[PRECIO_UNIT]]</f>
        <v>157.85999999999999</v>
      </c>
      <c r="F456" s="7">
        <f>Ventas[[#This Row],[SUBTOTAL]]*0.16</f>
        <v>25.257599999999996</v>
      </c>
      <c r="G456" s="7">
        <v>2.4000000000228283E-3</v>
      </c>
      <c r="H456" s="7">
        <f>Ventas[[#This Row],[SUBTOTAL]]+Ventas[[#This Row],[IVA]]+Ventas[[#This Row],[DESCUENTO/EXTRA]]</f>
        <v>183.12</v>
      </c>
      <c r="I456" t="s">
        <v>32</v>
      </c>
      <c r="J456" t="s">
        <v>39</v>
      </c>
      <c r="K456" t="s">
        <v>15</v>
      </c>
      <c r="L456" t="s">
        <v>16</v>
      </c>
    </row>
    <row r="457" spans="1:12">
      <c r="A457" s="3">
        <v>45364</v>
      </c>
      <c r="B457" t="s">
        <v>26</v>
      </c>
      <c r="C457" s="5">
        <v>4</v>
      </c>
      <c r="D457" s="7">
        <v>42.96</v>
      </c>
      <c r="E457" s="7">
        <f>Ventas[[#This Row],[CANTIDAD]]*Ventas[[#This Row],[PRECIO_UNIT]]</f>
        <v>171.84</v>
      </c>
      <c r="F457" s="7">
        <f>Ventas[[#This Row],[SUBTOTAL]]*0.16</f>
        <v>27.494400000000002</v>
      </c>
      <c r="G457" s="7">
        <v>-4.4000000000039563E-3</v>
      </c>
      <c r="H457" s="7">
        <f>Ventas[[#This Row],[SUBTOTAL]]+Ventas[[#This Row],[IVA]]+Ventas[[#This Row],[DESCUENTO/EXTRA]]</f>
        <v>199.33</v>
      </c>
      <c r="I457" t="s">
        <v>23</v>
      </c>
      <c r="J457" t="s">
        <v>14</v>
      </c>
      <c r="K457" t="s">
        <v>15</v>
      </c>
      <c r="L457" t="s">
        <v>16</v>
      </c>
    </row>
    <row r="458" spans="1:12">
      <c r="A458" s="3">
        <v>45366</v>
      </c>
      <c r="B458" t="s">
        <v>45</v>
      </c>
      <c r="C458" s="5">
        <v>5</v>
      </c>
      <c r="D458" s="7">
        <v>44.89</v>
      </c>
      <c r="E458" s="7">
        <f>Ventas[[#This Row],[CANTIDAD]]*Ventas[[#This Row],[PRECIO_UNIT]]</f>
        <v>224.45</v>
      </c>
      <c r="F458" s="7">
        <f>Ventas[[#This Row],[SUBTOTAL]]*0.16</f>
        <v>35.911999999999999</v>
      </c>
      <c r="G458" s="7">
        <v>-0.36199999999996635</v>
      </c>
      <c r="H458" s="7">
        <f>Ventas[[#This Row],[SUBTOTAL]]+Ventas[[#This Row],[IVA]]+Ventas[[#This Row],[DESCUENTO/EXTRA]]</f>
        <v>260</v>
      </c>
      <c r="I458" t="s">
        <v>18</v>
      </c>
      <c r="J458" t="s">
        <v>33</v>
      </c>
      <c r="K458" t="s">
        <v>15</v>
      </c>
      <c r="L458" t="s">
        <v>16</v>
      </c>
    </row>
    <row r="459" spans="1:12">
      <c r="A459" s="3">
        <v>45366</v>
      </c>
      <c r="B459" t="s">
        <v>46</v>
      </c>
      <c r="C459" s="5">
        <v>9</v>
      </c>
      <c r="D459" s="7">
        <v>25.32</v>
      </c>
      <c r="E459" s="7">
        <f>Ventas[[#This Row],[CANTIDAD]]*Ventas[[#This Row],[PRECIO_UNIT]]</f>
        <v>227.88</v>
      </c>
      <c r="F459" s="7">
        <f>Ventas[[#This Row],[SUBTOTAL]]*0.16</f>
        <v>36.460799999999999</v>
      </c>
      <c r="G459" s="7">
        <v>-0.34080000000000155</v>
      </c>
      <c r="H459" s="7">
        <f>Ventas[[#This Row],[SUBTOTAL]]+Ventas[[#This Row],[IVA]]+Ventas[[#This Row],[DESCUENTO/EXTRA]]</f>
        <v>264</v>
      </c>
      <c r="I459" t="s">
        <v>18</v>
      </c>
      <c r="J459" t="s">
        <v>14</v>
      </c>
      <c r="K459" t="s">
        <v>25</v>
      </c>
      <c r="L459" t="s">
        <v>16</v>
      </c>
    </row>
    <row r="460" spans="1:12">
      <c r="A460" s="3">
        <v>45367</v>
      </c>
      <c r="B460" t="s">
        <v>22</v>
      </c>
      <c r="C460" s="5">
        <v>30</v>
      </c>
      <c r="D460" s="7">
        <v>22</v>
      </c>
      <c r="E460" s="7">
        <f>Ventas[[#This Row],[CANTIDAD]]*Ventas[[#This Row],[PRECIO_UNIT]]</f>
        <v>660</v>
      </c>
      <c r="F460" s="7">
        <f>Ventas[[#This Row],[SUBTOTAL]]*0.16</f>
        <v>105.60000000000001</v>
      </c>
      <c r="G460" s="7">
        <v>13.209999999999923</v>
      </c>
      <c r="H460" s="7">
        <f>Ventas[[#This Row],[SUBTOTAL]]+Ventas[[#This Row],[IVA]]+Ventas[[#This Row],[DESCUENTO/EXTRA]]</f>
        <v>778.81</v>
      </c>
      <c r="I460" t="s">
        <v>18</v>
      </c>
      <c r="J460" t="s">
        <v>38</v>
      </c>
      <c r="K460" t="s">
        <v>25</v>
      </c>
      <c r="L460" t="s">
        <v>16</v>
      </c>
    </row>
    <row r="461" spans="1:12">
      <c r="A461" s="3">
        <v>45369</v>
      </c>
      <c r="B461" t="s">
        <v>17</v>
      </c>
      <c r="C461" s="5">
        <v>13</v>
      </c>
      <c r="D461" s="7">
        <v>34.64</v>
      </c>
      <c r="E461" s="7">
        <f>Ventas[[#This Row],[CANTIDAD]]*Ventas[[#This Row],[PRECIO_UNIT]]</f>
        <v>450.32</v>
      </c>
      <c r="F461" s="7">
        <f>Ventas[[#This Row],[SUBTOTAL]]*0.16</f>
        <v>72.051199999999994</v>
      </c>
      <c r="G461" s="7">
        <v>-7.1200000000089858E-2</v>
      </c>
      <c r="H461" s="7">
        <f>Ventas[[#This Row],[SUBTOTAL]]+Ventas[[#This Row],[IVA]]+Ventas[[#This Row],[DESCUENTO/EXTRA]]</f>
        <v>522.29999999999995</v>
      </c>
      <c r="I461" t="s">
        <v>18</v>
      </c>
      <c r="J461" t="s">
        <v>55</v>
      </c>
      <c r="K461" t="s">
        <v>15</v>
      </c>
      <c r="L461" t="s">
        <v>16</v>
      </c>
    </row>
    <row r="462" spans="1:12">
      <c r="A462" s="3">
        <v>45371</v>
      </c>
      <c r="B462" t="s">
        <v>26</v>
      </c>
      <c r="C462" s="5">
        <v>28</v>
      </c>
      <c r="D462" s="7">
        <v>40.74</v>
      </c>
      <c r="E462" s="7">
        <f>Ventas[[#This Row],[CANTIDAD]]*Ventas[[#This Row],[PRECIO_UNIT]]</f>
        <v>1140.72</v>
      </c>
      <c r="F462" s="7">
        <f>Ventas[[#This Row],[SUBTOTAL]]*0.16</f>
        <v>182.51520000000002</v>
      </c>
      <c r="G462" s="7">
        <v>-0.23520000000007713</v>
      </c>
      <c r="H462" s="7">
        <f>Ventas[[#This Row],[SUBTOTAL]]+Ventas[[#This Row],[IVA]]+Ventas[[#This Row],[DESCUENTO/EXTRA]]</f>
        <v>1323</v>
      </c>
      <c r="I462" t="s">
        <v>13</v>
      </c>
      <c r="J462" t="s">
        <v>38</v>
      </c>
      <c r="K462" t="s">
        <v>25</v>
      </c>
      <c r="L462" t="s">
        <v>16</v>
      </c>
    </row>
    <row r="463" spans="1:12">
      <c r="A463" s="3">
        <v>45371</v>
      </c>
      <c r="B463" t="s">
        <v>17</v>
      </c>
      <c r="C463" s="5">
        <v>9</v>
      </c>
      <c r="D463" s="7">
        <v>32</v>
      </c>
      <c r="E463" s="7">
        <f>Ventas[[#This Row],[CANTIDAD]]*Ventas[[#This Row],[PRECIO_UNIT]]</f>
        <v>288</v>
      </c>
      <c r="F463" s="7">
        <f>Ventas[[#This Row],[SUBTOTAL]]*0.16</f>
        <v>46.08</v>
      </c>
      <c r="G463" s="7">
        <v>4.5800000000000409</v>
      </c>
      <c r="H463" s="7">
        <f>Ventas[[#This Row],[SUBTOTAL]]+Ventas[[#This Row],[IVA]]+Ventas[[#This Row],[DESCUENTO/EXTRA]]</f>
        <v>338.66</v>
      </c>
      <c r="I463" t="s">
        <v>23</v>
      </c>
      <c r="J463" t="s">
        <v>44</v>
      </c>
      <c r="K463" t="s">
        <v>15</v>
      </c>
      <c r="L463" t="s">
        <v>16</v>
      </c>
    </row>
    <row r="464" spans="1:12">
      <c r="A464" s="3">
        <v>45375</v>
      </c>
      <c r="B464" t="s">
        <v>46</v>
      </c>
      <c r="C464" s="5">
        <v>24</v>
      </c>
      <c r="D464" s="7">
        <v>26.14</v>
      </c>
      <c r="E464" s="7">
        <f>Ventas[[#This Row],[CANTIDAD]]*Ventas[[#This Row],[PRECIO_UNIT]]</f>
        <v>627.36</v>
      </c>
      <c r="F464" s="7">
        <f>Ventas[[#This Row],[SUBTOTAL]]*0.16</f>
        <v>100.3776</v>
      </c>
      <c r="G464" s="7">
        <v>-3.7599999999997635E-2</v>
      </c>
      <c r="H464" s="7">
        <f>Ventas[[#This Row],[SUBTOTAL]]+Ventas[[#This Row],[IVA]]+Ventas[[#This Row],[DESCUENTO/EXTRA]]</f>
        <v>727.7</v>
      </c>
      <c r="I464" t="s">
        <v>18</v>
      </c>
      <c r="J464" t="s">
        <v>48</v>
      </c>
      <c r="K464" t="s">
        <v>25</v>
      </c>
      <c r="L464" t="s">
        <v>16</v>
      </c>
    </row>
    <row r="465" spans="1:12">
      <c r="A465" s="3">
        <v>45375</v>
      </c>
      <c r="B465" t="s">
        <v>26</v>
      </c>
      <c r="C465" s="5">
        <v>28</v>
      </c>
      <c r="D465" s="7">
        <v>42.75</v>
      </c>
      <c r="E465" s="7">
        <f>Ventas[[#This Row],[CANTIDAD]]*Ventas[[#This Row],[PRECIO_UNIT]]</f>
        <v>1197</v>
      </c>
      <c r="F465" s="7">
        <f>Ventas[[#This Row],[SUBTOTAL]]*0.16</f>
        <v>191.52</v>
      </c>
      <c r="G465" s="7">
        <v>2.9999999999972715E-2</v>
      </c>
      <c r="H465" s="7">
        <f>Ventas[[#This Row],[SUBTOTAL]]+Ventas[[#This Row],[IVA]]+Ventas[[#This Row],[DESCUENTO/EXTRA]]</f>
        <v>1388.55</v>
      </c>
      <c r="I465" t="s">
        <v>18</v>
      </c>
      <c r="J465" t="s">
        <v>44</v>
      </c>
      <c r="K465" t="s">
        <v>15</v>
      </c>
      <c r="L465" t="s">
        <v>16</v>
      </c>
    </row>
    <row r="466" spans="1:12">
      <c r="A466" s="3">
        <v>45375</v>
      </c>
      <c r="B466" t="s">
        <v>43</v>
      </c>
      <c r="C466" s="5">
        <v>2</v>
      </c>
      <c r="D466" s="7">
        <v>29</v>
      </c>
      <c r="E466" s="7">
        <f>Ventas[[#This Row],[CANTIDAD]]*Ventas[[#This Row],[PRECIO_UNIT]]</f>
        <v>58</v>
      </c>
      <c r="F466" s="7">
        <f>Ventas[[#This Row],[SUBTOTAL]]*0.16</f>
        <v>9.2799999999999994</v>
      </c>
      <c r="G466" s="7">
        <v>-0.28000000000000114</v>
      </c>
      <c r="H466" s="7">
        <f>Ventas[[#This Row],[SUBTOTAL]]+Ventas[[#This Row],[IVA]]+Ventas[[#This Row],[DESCUENTO/EXTRA]]</f>
        <v>67</v>
      </c>
      <c r="I466" t="s">
        <v>18</v>
      </c>
      <c r="J466" t="s">
        <v>44</v>
      </c>
      <c r="K466" t="s">
        <v>15</v>
      </c>
      <c r="L466" t="s">
        <v>16</v>
      </c>
    </row>
    <row r="467" spans="1:12">
      <c r="A467" s="3">
        <v>45376</v>
      </c>
      <c r="B467" t="s">
        <v>40</v>
      </c>
      <c r="C467" s="5">
        <v>27</v>
      </c>
      <c r="D467" s="7">
        <v>35</v>
      </c>
      <c r="E467" s="7">
        <f>Ventas[[#This Row],[CANTIDAD]]*Ventas[[#This Row],[PRECIO_UNIT]]</f>
        <v>945</v>
      </c>
      <c r="F467" s="7">
        <f>Ventas[[#This Row],[SUBTOTAL]]*0.16</f>
        <v>151.20000000000002</v>
      </c>
      <c r="G467" s="7">
        <v>4.2799999999999727</v>
      </c>
      <c r="H467" s="7">
        <f>Ventas[[#This Row],[SUBTOTAL]]+Ventas[[#This Row],[IVA]]+Ventas[[#This Row],[DESCUENTO/EXTRA]]</f>
        <v>1100.48</v>
      </c>
      <c r="I467" t="s">
        <v>23</v>
      </c>
      <c r="J467" t="s">
        <v>31</v>
      </c>
      <c r="K467" t="s">
        <v>15</v>
      </c>
      <c r="L467" t="s">
        <v>16</v>
      </c>
    </row>
    <row r="468" spans="1:12">
      <c r="A468" s="3">
        <v>45376</v>
      </c>
      <c r="B468" t="s">
        <v>17</v>
      </c>
      <c r="C468" s="5">
        <v>20</v>
      </c>
      <c r="D468" s="7">
        <v>34.07</v>
      </c>
      <c r="E468" s="7">
        <f>Ventas[[#This Row],[CANTIDAD]]*Ventas[[#This Row],[PRECIO_UNIT]]</f>
        <v>681.4</v>
      </c>
      <c r="F468" s="7">
        <f>Ventas[[#This Row],[SUBTOTAL]]*0.16</f>
        <v>109.024</v>
      </c>
      <c r="G468" s="7">
        <v>-1.4000000000010004E-2</v>
      </c>
      <c r="H468" s="7">
        <f>Ventas[[#This Row],[SUBTOTAL]]+Ventas[[#This Row],[IVA]]+Ventas[[#This Row],[DESCUENTO/EXTRA]]</f>
        <v>790.41</v>
      </c>
      <c r="I468" t="s">
        <v>23</v>
      </c>
      <c r="J468" t="s">
        <v>33</v>
      </c>
      <c r="K468" t="s">
        <v>15</v>
      </c>
      <c r="L468" t="s">
        <v>16</v>
      </c>
    </row>
    <row r="469" spans="1:12">
      <c r="A469" s="3">
        <v>45379</v>
      </c>
      <c r="B469" t="s">
        <v>28</v>
      </c>
      <c r="C469" s="5">
        <v>30</v>
      </c>
      <c r="D469" s="7">
        <v>80.790000000000006</v>
      </c>
      <c r="E469" s="7">
        <f>Ventas[[#This Row],[CANTIDAD]]*Ventas[[#This Row],[PRECIO_UNIT]]</f>
        <v>2423.7000000000003</v>
      </c>
      <c r="F469" s="7">
        <f>Ventas[[#This Row],[SUBTOTAL]]*0.16</f>
        <v>387.79200000000003</v>
      </c>
      <c r="G469" s="7">
        <v>3.8000000000010914E-2</v>
      </c>
      <c r="H469" s="7">
        <f>Ventas[[#This Row],[SUBTOTAL]]+Ventas[[#This Row],[IVA]]+Ventas[[#This Row],[DESCUENTO/EXTRA]]</f>
        <v>2811.53</v>
      </c>
      <c r="I469" t="s">
        <v>18</v>
      </c>
      <c r="J469" t="s">
        <v>34</v>
      </c>
      <c r="K469" t="s">
        <v>15</v>
      </c>
      <c r="L469" t="s">
        <v>16</v>
      </c>
    </row>
    <row r="470" spans="1:12">
      <c r="A470" s="3">
        <v>45379</v>
      </c>
      <c r="B470" t="s">
        <v>40</v>
      </c>
      <c r="C470" s="5">
        <v>29</v>
      </c>
      <c r="D470" s="7">
        <v>33.15</v>
      </c>
      <c r="E470" s="7">
        <f>Ventas[[#This Row],[CANTIDAD]]*Ventas[[#This Row],[PRECIO_UNIT]]</f>
        <v>961.34999999999991</v>
      </c>
      <c r="F470" s="7">
        <f>Ventas[[#This Row],[SUBTOTAL]]*0.16</f>
        <v>153.816</v>
      </c>
      <c r="G470" s="7">
        <v>-7.6000000000021828E-2</v>
      </c>
      <c r="H470" s="7">
        <f>Ventas[[#This Row],[SUBTOTAL]]+Ventas[[#This Row],[IVA]]+Ventas[[#This Row],[DESCUENTO/EXTRA]]</f>
        <v>1115.0899999999999</v>
      </c>
      <c r="I470" t="s">
        <v>23</v>
      </c>
      <c r="J470" t="s">
        <v>31</v>
      </c>
      <c r="K470" t="s">
        <v>25</v>
      </c>
      <c r="L470" t="s">
        <v>16</v>
      </c>
    </row>
    <row r="471" spans="1:12">
      <c r="A471" s="3">
        <v>45379</v>
      </c>
      <c r="B471" t="s">
        <v>37</v>
      </c>
      <c r="C471" s="5">
        <v>26</v>
      </c>
      <c r="D471" s="7">
        <v>22.1</v>
      </c>
      <c r="E471" s="7">
        <f>Ventas[[#This Row],[CANTIDAD]]*Ventas[[#This Row],[PRECIO_UNIT]]</f>
        <v>574.6</v>
      </c>
      <c r="F471" s="7">
        <f>Ventas[[#This Row],[SUBTOTAL]]*0.16</f>
        <v>91.936000000000007</v>
      </c>
      <c r="G471" s="7">
        <v>0.46399999999994179</v>
      </c>
      <c r="H471" s="7">
        <f>Ventas[[#This Row],[SUBTOTAL]]+Ventas[[#This Row],[IVA]]+Ventas[[#This Row],[DESCUENTO/EXTRA]]</f>
        <v>667</v>
      </c>
      <c r="I471" t="s">
        <v>23</v>
      </c>
      <c r="J471" t="s">
        <v>30</v>
      </c>
      <c r="K471" t="s">
        <v>15</v>
      </c>
      <c r="L471" t="s">
        <v>16</v>
      </c>
    </row>
    <row r="472" spans="1:12">
      <c r="A472" s="3">
        <v>45380</v>
      </c>
      <c r="B472" t="s">
        <v>20</v>
      </c>
      <c r="C472" s="5">
        <v>8</v>
      </c>
      <c r="D472" s="7">
        <v>12</v>
      </c>
      <c r="E472" s="7">
        <f>Ventas[[#This Row],[CANTIDAD]]*Ventas[[#This Row],[PRECIO_UNIT]]</f>
        <v>96</v>
      </c>
      <c r="F472" s="7">
        <f>Ventas[[#This Row],[SUBTOTAL]]*0.16</f>
        <v>15.36</v>
      </c>
      <c r="G472" s="7">
        <v>-4.3599999999999994</v>
      </c>
      <c r="H472" s="7">
        <f>Ventas[[#This Row],[SUBTOTAL]]+Ventas[[#This Row],[IVA]]+Ventas[[#This Row],[DESCUENTO/EXTRA]]</f>
        <v>107</v>
      </c>
      <c r="I472" t="s">
        <v>13</v>
      </c>
      <c r="J472" t="s">
        <v>52</v>
      </c>
      <c r="K472" t="s">
        <v>15</v>
      </c>
      <c r="L472" t="s">
        <v>16</v>
      </c>
    </row>
    <row r="473" spans="1:12">
      <c r="A473" s="3">
        <v>45380</v>
      </c>
      <c r="B473" t="s">
        <v>37</v>
      </c>
      <c r="C473" s="5">
        <v>22</v>
      </c>
      <c r="D473" s="7">
        <v>23.23</v>
      </c>
      <c r="E473" s="7">
        <f>Ventas[[#This Row],[CANTIDAD]]*Ventas[[#This Row],[PRECIO_UNIT]]</f>
        <v>511.06</v>
      </c>
      <c r="F473" s="7">
        <f>Ventas[[#This Row],[SUBTOTAL]]*0.16</f>
        <v>81.769599999999997</v>
      </c>
      <c r="G473" s="7">
        <v>-0.12959999999998217</v>
      </c>
      <c r="H473" s="7">
        <f>Ventas[[#This Row],[SUBTOTAL]]+Ventas[[#This Row],[IVA]]+Ventas[[#This Row],[DESCUENTO/EXTRA]]</f>
        <v>592.70000000000005</v>
      </c>
      <c r="I473" t="s">
        <v>18</v>
      </c>
      <c r="J473" t="s">
        <v>53</v>
      </c>
      <c r="K473" t="s">
        <v>15</v>
      </c>
      <c r="L473" t="s">
        <v>16</v>
      </c>
    </row>
    <row r="474" spans="1:12">
      <c r="A474" s="3">
        <v>45380</v>
      </c>
      <c r="B474" t="s">
        <v>37</v>
      </c>
      <c r="C474" s="5">
        <v>5</v>
      </c>
      <c r="D474" s="7">
        <v>24.34</v>
      </c>
      <c r="E474" s="7">
        <f>Ventas[[#This Row],[CANTIDAD]]*Ventas[[#This Row],[PRECIO_UNIT]]</f>
        <v>121.7</v>
      </c>
      <c r="F474" s="7">
        <f>Ventas[[#This Row],[SUBTOTAL]]*0.16</f>
        <v>19.472000000000001</v>
      </c>
      <c r="G474" s="7">
        <v>-0.17199999999999704</v>
      </c>
      <c r="H474" s="7">
        <f>Ventas[[#This Row],[SUBTOTAL]]+Ventas[[#This Row],[IVA]]+Ventas[[#This Row],[DESCUENTO/EXTRA]]</f>
        <v>141</v>
      </c>
      <c r="I474" t="s">
        <v>23</v>
      </c>
      <c r="J474" t="s">
        <v>38</v>
      </c>
      <c r="K474" t="s">
        <v>15</v>
      </c>
      <c r="L474" t="s">
        <v>16</v>
      </c>
    </row>
    <row r="475" spans="1:12">
      <c r="A475" s="3">
        <v>45380</v>
      </c>
      <c r="B475" t="s">
        <v>26</v>
      </c>
      <c r="C475" s="5">
        <v>13</v>
      </c>
      <c r="D475" s="7">
        <v>39</v>
      </c>
      <c r="E475" s="7">
        <f>Ventas[[#This Row],[CANTIDAD]]*Ventas[[#This Row],[PRECIO_UNIT]]</f>
        <v>507</v>
      </c>
      <c r="F475" s="7">
        <f>Ventas[[#This Row],[SUBTOTAL]]*0.16</f>
        <v>81.12</v>
      </c>
      <c r="G475" s="7">
        <v>-6.25</v>
      </c>
      <c r="H475" s="7">
        <f>Ventas[[#This Row],[SUBTOTAL]]+Ventas[[#This Row],[IVA]]+Ventas[[#This Row],[DESCUENTO/EXTRA]]</f>
        <v>581.87</v>
      </c>
      <c r="I475" t="s">
        <v>23</v>
      </c>
      <c r="J475" t="s">
        <v>39</v>
      </c>
      <c r="K475" t="s">
        <v>15</v>
      </c>
      <c r="L475" t="s">
        <v>16</v>
      </c>
    </row>
    <row r="476" spans="1:12">
      <c r="A476" s="3">
        <v>45381</v>
      </c>
      <c r="B476" t="s">
        <v>40</v>
      </c>
      <c r="C476" s="5">
        <v>8</v>
      </c>
      <c r="D476" s="7">
        <v>33</v>
      </c>
      <c r="E476" s="7">
        <f>Ventas[[#This Row],[CANTIDAD]]*Ventas[[#This Row],[PRECIO_UNIT]]</f>
        <v>264</v>
      </c>
      <c r="F476" s="7">
        <f>Ventas[[#This Row],[SUBTOTAL]]*0.16</f>
        <v>42.24</v>
      </c>
      <c r="G476" s="7">
        <v>0.75999999999999091</v>
      </c>
      <c r="H476" s="7">
        <f>Ventas[[#This Row],[SUBTOTAL]]+Ventas[[#This Row],[IVA]]+Ventas[[#This Row],[DESCUENTO/EXTRA]]</f>
        <v>307</v>
      </c>
      <c r="I476" t="s">
        <v>23</v>
      </c>
      <c r="J476" t="s">
        <v>21</v>
      </c>
      <c r="K476" t="s">
        <v>25</v>
      </c>
      <c r="L476" t="s">
        <v>16</v>
      </c>
    </row>
    <row r="477" spans="1:12">
      <c r="A477" s="3">
        <v>45385</v>
      </c>
      <c r="B477" t="s">
        <v>37</v>
      </c>
      <c r="C477" s="5">
        <v>13</v>
      </c>
      <c r="D477" s="7">
        <v>22.18</v>
      </c>
      <c r="E477" s="7">
        <f>Ventas[[#This Row],[CANTIDAD]]*Ventas[[#This Row],[PRECIO_UNIT]]</f>
        <v>288.33999999999997</v>
      </c>
      <c r="F477" s="7">
        <f>Ventas[[#This Row],[SUBTOTAL]]*0.16</f>
        <v>46.134399999999999</v>
      </c>
      <c r="G477" s="7">
        <v>2.5600000000054024E-2</v>
      </c>
      <c r="H477" s="7">
        <f>Ventas[[#This Row],[SUBTOTAL]]+Ventas[[#This Row],[IVA]]+Ventas[[#This Row],[DESCUENTO/EXTRA]]</f>
        <v>334.5</v>
      </c>
      <c r="I477" t="s">
        <v>18</v>
      </c>
      <c r="J477" t="s">
        <v>39</v>
      </c>
      <c r="K477" t="s">
        <v>15</v>
      </c>
      <c r="L477" t="s">
        <v>16</v>
      </c>
    </row>
    <row r="478" spans="1:12">
      <c r="A478" s="3">
        <v>45386</v>
      </c>
      <c r="B478" t="s">
        <v>45</v>
      </c>
      <c r="C478" s="5">
        <v>2</v>
      </c>
      <c r="D478" s="7">
        <v>45.12</v>
      </c>
      <c r="E478" s="7">
        <f>Ventas[[#This Row],[CANTIDAD]]*Ventas[[#This Row],[PRECIO_UNIT]]</f>
        <v>90.24</v>
      </c>
      <c r="F478" s="7">
        <f>Ventas[[#This Row],[SUBTOTAL]]*0.16</f>
        <v>14.4384</v>
      </c>
      <c r="G478" s="7">
        <v>1.6000000000104819E-3</v>
      </c>
      <c r="H478" s="7">
        <f>Ventas[[#This Row],[SUBTOTAL]]+Ventas[[#This Row],[IVA]]+Ventas[[#This Row],[DESCUENTO/EXTRA]]</f>
        <v>104.68</v>
      </c>
      <c r="I478" t="s">
        <v>32</v>
      </c>
      <c r="J478" t="s">
        <v>19</v>
      </c>
      <c r="K478" t="s">
        <v>15</v>
      </c>
      <c r="L478" t="s">
        <v>16</v>
      </c>
    </row>
    <row r="479" spans="1:12">
      <c r="A479" s="3">
        <v>45387</v>
      </c>
      <c r="B479" t="s">
        <v>20</v>
      </c>
      <c r="C479" s="5">
        <v>4</v>
      </c>
      <c r="D479" s="7">
        <v>11</v>
      </c>
      <c r="E479" s="7">
        <f>Ventas[[#This Row],[CANTIDAD]]*Ventas[[#This Row],[PRECIO_UNIT]]</f>
        <v>44</v>
      </c>
      <c r="F479" s="7">
        <f>Ventas[[#This Row],[SUBTOTAL]]*0.16</f>
        <v>7.04</v>
      </c>
      <c r="G479" s="7">
        <v>0.96000000000000085</v>
      </c>
      <c r="H479" s="7">
        <f>Ventas[[#This Row],[SUBTOTAL]]+Ventas[[#This Row],[IVA]]+Ventas[[#This Row],[DESCUENTO/EXTRA]]</f>
        <v>52</v>
      </c>
      <c r="I479" t="s">
        <v>18</v>
      </c>
      <c r="J479" t="s">
        <v>24</v>
      </c>
      <c r="K479" t="s">
        <v>25</v>
      </c>
      <c r="L479" t="s">
        <v>16</v>
      </c>
    </row>
    <row r="480" spans="1:12">
      <c r="A480" s="3">
        <v>45389</v>
      </c>
      <c r="B480" t="s">
        <v>12</v>
      </c>
      <c r="C480" s="5">
        <v>19</v>
      </c>
      <c r="D480" s="7">
        <v>57.48</v>
      </c>
      <c r="E480" s="7">
        <f>Ventas[[#This Row],[CANTIDAD]]*Ventas[[#This Row],[PRECIO_UNIT]]</f>
        <v>1092.1199999999999</v>
      </c>
      <c r="F480" s="7">
        <f>Ventas[[#This Row],[SUBTOTAL]]*0.16</f>
        <v>174.73919999999998</v>
      </c>
      <c r="G480" s="7">
        <v>-3.9199999999937063E-2</v>
      </c>
      <c r="H480" s="7">
        <f>Ventas[[#This Row],[SUBTOTAL]]+Ventas[[#This Row],[IVA]]+Ventas[[#This Row],[DESCUENTO/EXTRA]]</f>
        <v>1266.82</v>
      </c>
      <c r="I480" t="s">
        <v>23</v>
      </c>
      <c r="J480" t="s">
        <v>48</v>
      </c>
      <c r="K480" t="s">
        <v>15</v>
      </c>
      <c r="L480" t="s">
        <v>16</v>
      </c>
    </row>
    <row r="481" spans="1:12">
      <c r="A481" s="3">
        <v>45389</v>
      </c>
      <c r="B481" t="s">
        <v>46</v>
      </c>
      <c r="C481" s="5">
        <v>23</v>
      </c>
      <c r="D481" s="7">
        <v>25.91</v>
      </c>
      <c r="E481" s="7">
        <f>Ventas[[#This Row],[CANTIDAD]]*Ventas[[#This Row],[PRECIO_UNIT]]</f>
        <v>595.92999999999995</v>
      </c>
      <c r="F481" s="7">
        <f>Ventas[[#This Row],[SUBTOTAL]]*0.16</f>
        <v>95.348799999999997</v>
      </c>
      <c r="G481" s="7">
        <v>9.1200000000071668E-2</v>
      </c>
      <c r="H481" s="7">
        <f>Ventas[[#This Row],[SUBTOTAL]]+Ventas[[#This Row],[IVA]]+Ventas[[#This Row],[DESCUENTO/EXTRA]]</f>
        <v>691.37</v>
      </c>
      <c r="I481" t="s">
        <v>32</v>
      </c>
      <c r="J481" t="s">
        <v>48</v>
      </c>
      <c r="K481" t="s">
        <v>15</v>
      </c>
      <c r="L481" t="s">
        <v>16</v>
      </c>
    </row>
    <row r="482" spans="1:12">
      <c r="A482" s="3">
        <v>45389</v>
      </c>
      <c r="B482" t="s">
        <v>46</v>
      </c>
      <c r="C482" s="5">
        <v>7</v>
      </c>
      <c r="D482" s="7">
        <v>26</v>
      </c>
      <c r="E482" s="7">
        <f>Ventas[[#This Row],[CANTIDAD]]*Ventas[[#This Row],[PRECIO_UNIT]]</f>
        <v>182</v>
      </c>
      <c r="F482" s="7">
        <f>Ventas[[#This Row],[SUBTOTAL]]*0.16</f>
        <v>29.12</v>
      </c>
      <c r="G482" s="7">
        <v>4.8700000000000045</v>
      </c>
      <c r="H482" s="7">
        <f>Ventas[[#This Row],[SUBTOTAL]]+Ventas[[#This Row],[IVA]]+Ventas[[#This Row],[DESCUENTO/EXTRA]]</f>
        <v>215.99</v>
      </c>
      <c r="I482" t="s">
        <v>23</v>
      </c>
      <c r="J482" t="s">
        <v>39</v>
      </c>
      <c r="K482" t="s">
        <v>15</v>
      </c>
      <c r="L482" t="s">
        <v>16</v>
      </c>
    </row>
    <row r="483" spans="1:12">
      <c r="A483" s="3">
        <v>45390</v>
      </c>
      <c r="B483" t="s">
        <v>28</v>
      </c>
      <c r="C483" s="5">
        <v>23</v>
      </c>
      <c r="D483" s="7">
        <v>77.08</v>
      </c>
      <c r="E483" s="7">
        <f>Ventas[[#This Row],[CANTIDAD]]*Ventas[[#This Row],[PRECIO_UNIT]]</f>
        <v>1772.84</v>
      </c>
      <c r="F483" s="7">
        <f>Ventas[[#This Row],[SUBTOTAL]]*0.16</f>
        <v>283.65440000000001</v>
      </c>
      <c r="G483" s="7">
        <v>8.5599999999885767E-2</v>
      </c>
      <c r="H483" s="7">
        <f>Ventas[[#This Row],[SUBTOTAL]]+Ventas[[#This Row],[IVA]]+Ventas[[#This Row],[DESCUENTO/EXTRA]]</f>
        <v>2056.58</v>
      </c>
      <c r="I483" t="s">
        <v>18</v>
      </c>
      <c r="J483" t="s">
        <v>52</v>
      </c>
      <c r="K483" t="s">
        <v>25</v>
      </c>
      <c r="L483" t="s">
        <v>16</v>
      </c>
    </row>
    <row r="484" spans="1:12">
      <c r="A484" s="3">
        <v>45392</v>
      </c>
      <c r="B484" t="s">
        <v>46</v>
      </c>
      <c r="C484" s="5">
        <v>7</v>
      </c>
      <c r="D484" s="7">
        <v>28.06</v>
      </c>
      <c r="E484" s="7">
        <f>Ventas[[#This Row],[CANTIDAD]]*Ventas[[#This Row],[PRECIO_UNIT]]</f>
        <v>196.42</v>
      </c>
      <c r="F484" s="7">
        <f>Ventas[[#This Row],[SUBTOTAL]]*0.16</f>
        <v>31.427199999999999</v>
      </c>
      <c r="G484" s="7">
        <v>-2.7199999999993452E-2</v>
      </c>
      <c r="H484" s="7">
        <f>Ventas[[#This Row],[SUBTOTAL]]+Ventas[[#This Row],[IVA]]+Ventas[[#This Row],[DESCUENTO/EXTRA]]</f>
        <v>227.82</v>
      </c>
      <c r="I484" t="s">
        <v>23</v>
      </c>
      <c r="J484" t="s">
        <v>54</v>
      </c>
      <c r="K484" t="s">
        <v>15</v>
      </c>
      <c r="L484" t="s">
        <v>16</v>
      </c>
    </row>
    <row r="485" spans="1:12">
      <c r="A485" s="3">
        <v>45394</v>
      </c>
      <c r="B485" t="s">
        <v>20</v>
      </c>
      <c r="C485" s="5">
        <v>16</v>
      </c>
      <c r="D485" s="7">
        <v>10.98</v>
      </c>
      <c r="E485" s="7">
        <f>Ventas[[#This Row],[CANTIDAD]]*Ventas[[#This Row],[PRECIO_UNIT]]</f>
        <v>175.68</v>
      </c>
      <c r="F485" s="7">
        <f>Ventas[[#This Row],[SUBTOTAL]]*0.16</f>
        <v>28.108800000000002</v>
      </c>
      <c r="G485" s="7">
        <v>7.1200000000004593E-2</v>
      </c>
      <c r="H485" s="7">
        <f>Ventas[[#This Row],[SUBTOTAL]]+Ventas[[#This Row],[IVA]]+Ventas[[#This Row],[DESCUENTO/EXTRA]]</f>
        <v>203.86</v>
      </c>
      <c r="I485" t="s">
        <v>32</v>
      </c>
      <c r="J485" t="s">
        <v>19</v>
      </c>
      <c r="K485" t="s">
        <v>15</v>
      </c>
      <c r="L485" t="s">
        <v>16</v>
      </c>
    </row>
    <row r="486" spans="1:12">
      <c r="A486" s="3">
        <v>45395</v>
      </c>
      <c r="B486" t="s">
        <v>35</v>
      </c>
      <c r="C486" s="5">
        <v>5</v>
      </c>
      <c r="D486" s="7">
        <v>28.01</v>
      </c>
      <c r="E486" s="7">
        <f>Ventas[[#This Row],[CANTIDAD]]*Ventas[[#This Row],[PRECIO_UNIT]]</f>
        <v>140.05000000000001</v>
      </c>
      <c r="F486" s="7">
        <f>Ventas[[#This Row],[SUBTOTAL]]*0.16</f>
        <v>22.408000000000001</v>
      </c>
      <c r="G486" s="7">
        <v>2.1999999999962938E-2</v>
      </c>
      <c r="H486" s="7">
        <f>Ventas[[#This Row],[SUBTOTAL]]+Ventas[[#This Row],[IVA]]+Ventas[[#This Row],[DESCUENTO/EXTRA]]</f>
        <v>162.47999999999999</v>
      </c>
      <c r="I486" t="s">
        <v>18</v>
      </c>
      <c r="J486" t="s">
        <v>34</v>
      </c>
      <c r="K486" t="s">
        <v>15</v>
      </c>
      <c r="L486" t="s">
        <v>16</v>
      </c>
    </row>
    <row r="487" spans="1:12">
      <c r="A487" s="3">
        <v>45395</v>
      </c>
      <c r="B487" t="s">
        <v>40</v>
      </c>
      <c r="C487" s="5">
        <v>16</v>
      </c>
      <c r="D487" s="7">
        <v>33.85</v>
      </c>
      <c r="E487" s="7">
        <f>Ventas[[#This Row],[CANTIDAD]]*Ventas[[#This Row],[PRECIO_UNIT]]</f>
        <v>541.6</v>
      </c>
      <c r="F487" s="7">
        <f>Ventas[[#This Row],[SUBTOTAL]]*0.16</f>
        <v>86.656000000000006</v>
      </c>
      <c r="G487" s="7">
        <v>-0.25600000000008549</v>
      </c>
      <c r="H487" s="7">
        <f>Ventas[[#This Row],[SUBTOTAL]]+Ventas[[#This Row],[IVA]]+Ventas[[#This Row],[DESCUENTO/EXTRA]]</f>
        <v>628</v>
      </c>
      <c r="I487" t="s">
        <v>32</v>
      </c>
      <c r="J487" t="s">
        <v>53</v>
      </c>
      <c r="K487" t="s">
        <v>15</v>
      </c>
      <c r="L487" t="s">
        <v>16</v>
      </c>
    </row>
    <row r="488" spans="1:12">
      <c r="A488" s="3">
        <v>45396</v>
      </c>
      <c r="B488" t="s">
        <v>40</v>
      </c>
      <c r="C488" s="5">
        <v>15</v>
      </c>
      <c r="D488" s="7">
        <v>32.29</v>
      </c>
      <c r="E488" s="7">
        <f>Ventas[[#This Row],[CANTIDAD]]*Ventas[[#This Row],[PRECIO_UNIT]]</f>
        <v>484.34999999999997</v>
      </c>
      <c r="F488" s="7">
        <f>Ventas[[#This Row],[SUBTOTAL]]*0.16</f>
        <v>77.495999999999995</v>
      </c>
      <c r="G488" s="7">
        <v>-7.6000000000021828E-2</v>
      </c>
      <c r="H488" s="7">
        <f>Ventas[[#This Row],[SUBTOTAL]]+Ventas[[#This Row],[IVA]]+Ventas[[#This Row],[DESCUENTO/EXTRA]]</f>
        <v>561.77</v>
      </c>
      <c r="I488" t="s">
        <v>23</v>
      </c>
      <c r="J488" t="s">
        <v>55</v>
      </c>
      <c r="K488" t="s">
        <v>15</v>
      </c>
      <c r="L488" t="s">
        <v>16</v>
      </c>
    </row>
    <row r="489" spans="1:12">
      <c r="A489" s="3">
        <v>45396</v>
      </c>
      <c r="B489" t="s">
        <v>12</v>
      </c>
      <c r="C489" s="5">
        <v>14</v>
      </c>
      <c r="D489" s="7">
        <v>54.78</v>
      </c>
      <c r="E489" s="7">
        <f>Ventas[[#This Row],[CANTIDAD]]*Ventas[[#This Row],[PRECIO_UNIT]]</f>
        <v>766.92000000000007</v>
      </c>
      <c r="F489" s="7">
        <f>Ventas[[#This Row],[SUBTOTAL]]*0.16</f>
        <v>122.70720000000001</v>
      </c>
      <c r="G489" s="7">
        <v>-7.7200000000175351E-2</v>
      </c>
      <c r="H489" s="7">
        <f>Ventas[[#This Row],[SUBTOTAL]]+Ventas[[#This Row],[IVA]]+Ventas[[#This Row],[DESCUENTO/EXTRA]]</f>
        <v>889.55</v>
      </c>
      <c r="I489" t="s">
        <v>18</v>
      </c>
      <c r="J489" t="s">
        <v>47</v>
      </c>
      <c r="K489" t="s">
        <v>15</v>
      </c>
      <c r="L489" t="s">
        <v>16</v>
      </c>
    </row>
    <row r="490" spans="1:12">
      <c r="A490" s="3">
        <v>45400</v>
      </c>
      <c r="B490" t="s">
        <v>28</v>
      </c>
      <c r="C490" s="5">
        <v>5</v>
      </c>
      <c r="D490" s="7">
        <v>79</v>
      </c>
      <c r="E490" s="7">
        <f>Ventas[[#This Row],[CANTIDAD]]*Ventas[[#This Row],[PRECIO_UNIT]]</f>
        <v>395</v>
      </c>
      <c r="F490" s="7">
        <f>Ventas[[#This Row],[SUBTOTAL]]*0.16</f>
        <v>63.2</v>
      </c>
      <c r="G490" s="7">
        <v>2.2300000000000182</v>
      </c>
      <c r="H490" s="7">
        <f>Ventas[[#This Row],[SUBTOTAL]]+Ventas[[#This Row],[IVA]]+Ventas[[#This Row],[DESCUENTO/EXTRA]]</f>
        <v>460.43</v>
      </c>
      <c r="I490" t="s">
        <v>13</v>
      </c>
      <c r="J490" t="s">
        <v>50</v>
      </c>
      <c r="K490" t="s">
        <v>15</v>
      </c>
      <c r="L490" t="s">
        <v>16</v>
      </c>
    </row>
    <row r="491" spans="1:12">
      <c r="A491" s="3">
        <v>45402</v>
      </c>
      <c r="B491" t="s">
        <v>45</v>
      </c>
      <c r="C491" s="5">
        <v>19</v>
      </c>
      <c r="D491" s="7">
        <v>44.88</v>
      </c>
      <c r="E491" s="7">
        <f>Ventas[[#This Row],[CANTIDAD]]*Ventas[[#This Row],[PRECIO_UNIT]]</f>
        <v>852.72</v>
      </c>
      <c r="F491" s="7">
        <f>Ventas[[#This Row],[SUBTOTAL]]*0.16</f>
        <v>136.43520000000001</v>
      </c>
      <c r="G491" s="7">
        <v>-9.5200000000090768E-2</v>
      </c>
      <c r="H491" s="7">
        <f>Ventas[[#This Row],[SUBTOTAL]]+Ventas[[#This Row],[IVA]]+Ventas[[#This Row],[DESCUENTO/EXTRA]]</f>
        <v>989.06</v>
      </c>
      <c r="I491" t="s">
        <v>18</v>
      </c>
      <c r="J491" t="s">
        <v>27</v>
      </c>
      <c r="K491" t="s">
        <v>25</v>
      </c>
      <c r="L491" t="s">
        <v>16</v>
      </c>
    </row>
    <row r="492" spans="1:12">
      <c r="A492" s="3">
        <v>45403</v>
      </c>
      <c r="B492" t="s">
        <v>26</v>
      </c>
      <c r="C492" s="5">
        <v>22</v>
      </c>
      <c r="D492" s="7">
        <v>39.520000000000003</v>
      </c>
      <c r="E492" s="7">
        <f>Ventas[[#This Row],[CANTIDAD]]*Ventas[[#This Row],[PRECIO_UNIT]]</f>
        <v>869.44</v>
      </c>
      <c r="F492" s="7">
        <f>Ventas[[#This Row],[SUBTOTAL]]*0.16</f>
        <v>139.1104</v>
      </c>
      <c r="G492" s="7">
        <v>-8.0400000000054206E-2</v>
      </c>
      <c r="H492" s="7">
        <f>Ventas[[#This Row],[SUBTOTAL]]+Ventas[[#This Row],[IVA]]+Ventas[[#This Row],[DESCUENTO/EXTRA]]</f>
        <v>1008.47</v>
      </c>
      <c r="I492" t="s">
        <v>18</v>
      </c>
      <c r="J492" t="s">
        <v>52</v>
      </c>
      <c r="K492" t="s">
        <v>15</v>
      </c>
      <c r="L492" t="s">
        <v>16</v>
      </c>
    </row>
    <row r="493" spans="1:12">
      <c r="A493" s="3">
        <v>45403</v>
      </c>
      <c r="B493" t="s">
        <v>26</v>
      </c>
      <c r="C493" s="5">
        <v>19</v>
      </c>
      <c r="D493" s="7">
        <v>38</v>
      </c>
      <c r="E493" s="7">
        <f>Ventas[[#This Row],[CANTIDAD]]*Ventas[[#This Row],[PRECIO_UNIT]]</f>
        <v>722</v>
      </c>
      <c r="F493" s="7">
        <f>Ventas[[#This Row],[SUBTOTAL]]*0.16</f>
        <v>115.52</v>
      </c>
      <c r="G493" s="7">
        <v>9.1900000000000546</v>
      </c>
      <c r="H493" s="7">
        <f>Ventas[[#This Row],[SUBTOTAL]]+Ventas[[#This Row],[IVA]]+Ventas[[#This Row],[DESCUENTO/EXTRA]]</f>
        <v>846.71</v>
      </c>
      <c r="I493" t="s">
        <v>13</v>
      </c>
      <c r="J493" t="s">
        <v>38</v>
      </c>
      <c r="K493" t="s">
        <v>25</v>
      </c>
      <c r="L493" t="s">
        <v>16</v>
      </c>
    </row>
    <row r="494" spans="1:12">
      <c r="A494" s="3">
        <v>45404</v>
      </c>
      <c r="B494" t="s">
        <v>45</v>
      </c>
      <c r="C494" s="5">
        <v>3</v>
      </c>
      <c r="D494" s="7">
        <v>47.51</v>
      </c>
      <c r="E494" s="7">
        <f>Ventas[[#This Row],[CANTIDAD]]*Ventas[[#This Row],[PRECIO_UNIT]]</f>
        <v>142.53</v>
      </c>
      <c r="F494" s="7">
        <f>Ventas[[#This Row],[SUBTOTAL]]*0.16</f>
        <v>22.8048</v>
      </c>
      <c r="G494" s="7">
        <v>5.2000000000020918E-3</v>
      </c>
      <c r="H494" s="7">
        <f>Ventas[[#This Row],[SUBTOTAL]]+Ventas[[#This Row],[IVA]]+Ventas[[#This Row],[DESCUENTO/EXTRA]]</f>
        <v>165.34</v>
      </c>
      <c r="I494" t="s">
        <v>23</v>
      </c>
      <c r="J494" t="s">
        <v>55</v>
      </c>
      <c r="K494" t="s">
        <v>15</v>
      </c>
      <c r="L494" t="s">
        <v>16</v>
      </c>
    </row>
    <row r="495" spans="1:12">
      <c r="A495" s="3">
        <v>45404</v>
      </c>
      <c r="B495" t="s">
        <v>45</v>
      </c>
      <c r="C495" s="5">
        <v>9</v>
      </c>
      <c r="D495" s="7">
        <v>44.2</v>
      </c>
      <c r="E495" s="7">
        <f>Ventas[[#This Row],[CANTIDAD]]*Ventas[[#This Row],[PRECIO_UNIT]]</f>
        <v>397.8</v>
      </c>
      <c r="F495" s="7">
        <f>Ventas[[#This Row],[SUBTOTAL]]*0.16</f>
        <v>63.648000000000003</v>
      </c>
      <c r="G495" s="7">
        <v>-4.8000000000058662E-2</v>
      </c>
      <c r="H495" s="7">
        <f>Ventas[[#This Row],[SUBTOTAL]]+Ventas[[#This Row],[IVA]]+Ventas[[#This Row],[DESCUENTO/EXTRA]]</f>
        <v>461.4</v>
      </c>
      <c r="I495" t="s">
        <v>32</v>
      </c>
      <c r="J495" t="s">
        <v>53</v>
      </c>
      <c r="K495" t="s">
        <v>25</v>
      </c>
      <c r="L495" t="s">
        <v>16</v>
      </c>
    </row>
    <row r="496" spans="1:12">
      <c r="A496" s="3">
        <v>45404</v>
      </c>
      <c r="B496" t="s">
        <v>26</v>
      </c>
      <c r="C496" s="5">
        <v>22</v>
      </c>
      <c r="D496" s="7">
        <v>37.840000000000003</v>
      </c>
      <c r="E496" s="7">
        <f>Ventas[[#This Row],[CANTIDAD]]*Ventas[[#This Row],[PRECIO_UNIT]]</f>
        <v>832.48</v>
      </c>
      <c r="F496" s="7">
        <f>Ventas[[#This Row],[SUBTOTAL]]*0.16</f>
        <v>133.1968</v>
      </c>
      <c r="G496" s="7">
        <v>8.3200000000033469E-2</v>
      </c>
      <c r="H496" s="7">
        <f>Ventas[[#This Row],[SUBTOTAL]]+Ventas[[#This Row],[IVA]]+Ventas[[#This Row],[DESCUENTO/EXTRA]]</f>
        <v>965.76</v>
      </c>
      <c r="I496" t="s">
        <v>23</v>
      </c>
      <c r="J496" t="s">
        <v>27</v>
      </c>
      <c r="K496" t="s">
        <v>15</v>
      </c>
      <c r="L496" t="s">
        <v>16</v>
      </c>
    </row>
    <row r="497" spans="1:12">
      <c r="A497" s="3">
        <v>45406</v>
      </c>
      <c r="B497" t="s">
        <v>46</v>
      </c>
      <c r="C497" s="5">
        <v>2</v>
      </c>
      <c r="D497" s="7">
        <v>26.08</v>
      </c>
      <c r="E497" s="7">
        <f>Ventas[[#This Row],[CANTIDAD]]*Ventas[[#This Row],[PRECIO_UNIT]]</f>
        <v>52.16</v>
      </c>
      <c r="F497" s="7">
        <f>Ventas[[#This Row],[SUBTOTAL]]*0.16</f>
        <v>8.3455999999999992</v>
      </c>
      <c r="G497" s="7">
        <v>-0.50559999999999405</v>
      </c>
      <c r="H497" s="7">
        <f>Ventas[[#This Row],[SUBTOTAL]]+Ventas[[#This Row],[IVA]]+Ventas[[#This Row],[DESCUENTO/EXTRA]]</f>
        <v>60</v>
      </c>
      <c r="I497" t="s">
        <v>18</v>
      </c>
      <c r="J497" t="s">
        <v>50</v>
      </c>
      <c r="K497" t="s">
        <v>15</v>
      </c>
      <c r="L497" t="s">
        <v>16</v>
      </c>
    </row>
    <row r="498" spans="1:12">
      <c r="A498" s="3">
        <v>45409</v>
      </c>
      <c r="B498" t="s">
        <v>35</v>
      </c>
      <c r="C498" s="5">
        <v>7</v>
      </c>
      <c r="D498" s="7">
        <v>27.2</v>
      </c>
      <c r="E498" s="7">
        <f>Ventas[[#This Row],[CANTIDAD]]*Ventas[[#This Row],[PRECIO_UNIT]]</f>
        <v>190.4</v>
      </c>
      <c r="F498" s="7">
        <f>Ventas[[#This Row],[SUBTOTAL]]*0.16</f>
        <v>30.464000000000002</v>
      </c>
      <c r="G498" s="7">
        <v>3.6000000000001364E-2</v>
      </c>
      <c r="H498" s="7">
        <f>Ventas[[#This Row],[SUBTOTAL]]+Ventas[[#This Row],[IVA]]+Ventas[[#This Row],[DESCUENTO/EXTRA]]</f>
        <v>220.9</v>
      </c>
      <c r="I498" t="s">
        <v>18</v>
      </c>
      <c r="J498" t="s">
        <v>49</v>
      </c>
      <c r="K498" t="s">
        <v>15</v>
      </c>
      <c r="L498" t="s">
        <v>16</v>
      </c>
    </row>
    <row r="499" spans="1:12">
      <c r="A499" s="3">
        <v>45412</v>
      </c>
      <c r="B499" t="s">
        <v>45</v>
      </c>
      <c r="C499" s="5">
        <v>23</v>
      </c>
      <c r="D499" s="7">
        <v>44.94</v>
      </c>
      <c r="E499" s="7">
        <f>Ventas[[#This Row],[CANTIDAD]]*Ventas[[#This Row],[PRECIO_UNIT]]</f>
        <v>1033.6199999999999</v>
      </c>
      <c r="F499" s="7">
        <f>Ventas[[#This Row],[SUBTOTAL]]*0.16</f>
        <v>165.3792</v>
      </c>
      <c r="G499" s="7">
        <v>0.1308000000001357</v>
      </c>
      <c r="H499" s="7">
        <f>Ventas[[#This Row],[SUBTOTAL]]+Ventas[[#This Row],[IVA]]+Ventas[[#This Row],[DESCUENTO/EXTRA]]</f>
        <v>1199.1300000000001</v>
      </c>
      <c r="I499" t="s">
        <v>32</v>
      </c>
      <c r="J499" t="s">
        <v>48</v>
      </c>
      <c r="K499" t="s">
        <v>15</v>
      </c>
      <c r="L499" t="s">
        <v>16</v>
      </c>
    </row>
    <row r="500" spans="1:12">
      <c r="A500" s="3">
        <v>45413</v>
      </c>
      <c r="B500" t="s">
        <v>35</v>
      </c>
      <c r="C500" s="5">
        <v>5</v>
      </c>
      <c r="D500" s="7">
        <v>26.31</v>
      </c>
      <c r="E500" s="7">
        <f>Ventas[[#This Row],[CANTIDAD]]*Ventas[[#This Row],[PRECIO_UNIT]]</f>
        <v>131.54999999999998</v>
      </c>
      <c r="F500" s="7">
        <f>Ventas[[#This Row],[SUBTOTAL]]*0.16</f>
        <v>21.047999999999998</v>
      </c>
      <c r="G500" s="7">
        <v>3.2000000000010687E-2</v>
      </c>
      <c r="H500" s="7">
        <f>Ventas[[#This Row],[SUBTOTAL]]+Ventas[[#This Row],[IVA]]+Ventas[[#This Row],[DESCUENTO/EXTRA]]</f>
        <v>152.63</v>
      </c>
      <c r="I500" t="s">
        <v>32</v>
      </c>
      <c r="J500" t="s">
        <v>53</v>
      </c>
      <c r="K500" t="s">
        <v>25</v>
      </c>
      <c r="L500" t="s">
        <v>16</v>
      </c>
    </row>
    <row r="501" spans="1:12">
      <c r="A501" s="3">
        <v>45413</v>
      </c>
      <c r="B501" t="s">
        <v>17</v>
      </c>
      <c r="C501" s="5">
        <v>3</v>
      </c>
      <c r="D501" s="7">
        <v>33</v>
      </c>
      <c r="E501" s="7">
        <f>Ventas[[#This Row],[CANTIDAD]]*Ventas[[#This Row],[PRECIO_UNIT]]</f>
        <v>99</v>
      </c>
      <c r="F501" s="7">
        <f>Ventas[[#This Row],[SUBTOTAL]]*0.16</f>
        <v>15.84</v>
      </c>
      <c r="G501" s="7">
        <v>-0.90999999999999659</v>
      </c>
      <c r="H501" s="7">
        <f>Ventas[[#This Row],[SUBTOTAL]]+Ventas[[#This Row],[IVA]]+Ventas[[#This Row],[DESCUENTO/EXTRA]]</f>
        <v>113.93</v>
      </c>
      <c r="I501" t="s">
        <v>13</v>
      </c>
      <c r="J501" t="s">
        <v>54</v>
      </c>
      <c r="K501" t="s">
        <v>15</v>
      </c>
      <c r="L501" t="s">
        <v>16</v>
      </c>
    </row>
    <row r="502" spans="1:12">
      <c r="A502" s="3">
        <v>45415</v>
      </c>
      <c r="B502" t="s">
        <v>43</v>
      </c>
      <c r="C502" s="5">
        <v>13</v>
      </c>
      <c r="D502" s="7">
        <v>29</v>
      </c>
      <c r="E502" s="7">
        <f>Ventas[[#This Row],[CANTIDAD]]*Ventas[[#This Row],[PRECIO_UNIT]]</f>
        <v>377</v>
      </c>
      <c r="F502" s="7">
        <f>Ventas[[#This Row],[SUBTOTAL]]*0.16</f>
        <v>60.32</v>
      </c>
      <c r="G502" s="7">
        <v>-0.83999999999997499</v>
      </c>
      <c r="H502" s="7">
        <f>Ventas[[#This Row],[SUBTOTAL]]+Ventas[[#This Row],[IVA]]+Ventas[[#This Row],[DESCUENTO/EXTRA]]</f>
        <v>436.48</v>
      </c>
      <c r="I502" t="s">
        <v>18</v>
      </c>
      <c r="J502" t="s">
        <v>49</v>
      </c>
      <c r="K502" t="s">
        <v>15</v>
      </c>
      <c r="L502" t="s">
        <v>16</v>
      </c>
    </row>
    <row r="503" spans="1:12">
      <c r="A503" s="3">
        <v>45419</v>
      </c>
      <c r="B503" t="s">
        <v>26</v>
      </c>
      <c r="C503" s="5">
        <v>15</v>
      </c>
      <c r="D503" s="7">
        <v>39</v>
      </c>
      <c r="E503" s="7">
        <f>Ventas[[#This Row],[CANTIDAD]]*Ventas[[#This Row],[PRECIO_UNIT]]</f>
        <v>585</v>
      </c>
      <c r="F503" s="7">
        <f>Ventas[[#This Row],[SUBTOTAL]]*0.16</f>
        <v>93.600000000000009</v>
      </c>
      <c r="G503" s="7">
        <v>-4.1700000000000728</v>
      </c>
      <c r="H503" s="7">
        <f>Ventas[[#This Row],[SUBTOTAL]]+Ventas[[#This Row],[IVA]]+Ventas[[#This Row],[DESCUENTO/EXTRA]]</f>
        <v>674.43</v>
      </c>
      <c r="I503" t="s">
        <v>18</v>
      </c>
      <c r="J503" t="s">
        <v>51</v>
      </c>
      <c r="K503" t="s">
        <v>25</v>
      </c>
      <c r="L503" t="s">
        <v>16</v>
      </c>
    </row>
    <row r="504" spans="1:12">
      <c r="A504" s="3">
        <v>45420</v>
      </c>
      <c r="B504" t="s">
        <v>43</v>
      </c>
      <c r="C504" s="5">
        <v>16</v>
      </c>
      <c r="D504" s="7">
        <v>31</v>
      </c>
      <c r="E504" s="7">
        <f>Ventas[[#This Row],[CANTIDAD]]*Ventas[[#This Row],[PRECIO_UNIT]]</f>
        <v>496</v>
      </c>
      <c r="F504" s="7">
        <f>Ventas[[#This Row],[SUBTOTAL]]*0.16</f>
        <v>79.36</v>
      </c>
      <c r="G504" s="7">
        <v>2.5399999999999636</v>
      </c>
      <c r="H504" s="7">
        <f>Ventas[[#This Row],[SUBTOTAL]]+Ventas[[#This Row],[IVA]]+Ventas[[#This Row],[DESCUENTO/EXTRA]]</f>
        <v>577.9</v>
      </c>
      <c r="I504" t="s">
        <v>41</v>
      </c>
      <c r="J504" t="s">
        <v>34</v>
      </c>
      <c r="K504" t="s">
        <v>15</v>
      </c>
      <c r="L504" t="s">
        <v>16</v>
      </c>
    </row>
    <row r="505" spans="1:12">
      <c r="A505" s="3">
        <v>45420</v>
      </c>
      <c r="B505" t="s">
        <v>37</v>
      </c>
      <c r="C505" s="5">
        <v>23</v>
      </c>
      <c r="D505" s="7">
        <v>22</v>
      </c>
      <c r="E505" s="7">
        <f>Ventas[[#This Row],[CANTIDAD]]*Ventas[[#This Row],[PRECIO_UNIT]]</f>
        <v>506</v>
      </c>
      <c r="F505" s="7">
        <f>Ventas[[#This Row],[SUBTOTAL]]*0.16</f>
        <v>80.960000000000008</v>
      </c>
      <c r="G505" s="7">
        <v>11.659999999999968</v>
      </c>
      <c r="H505" s="7">
        <f>Ventas[[#This Row],[SUBTOTAL]]+Ventas[[#This Row],[IVA]]+Ventas[[#This Row],[DESCUENTO/EXTRA]]</f>
        <v>598.62</v>
      </c>
      <c r="I505" t="s">
        <v>18</v>
      </c>
      <c r="J505" t="s">
        <v>42</v>
      </c>
      <c r="K505" t="s">
        <v>25</v>
      </c>
      <c r="L505" t="s">
        <v>16</v>
      </c>
    </row>
    <row r="506" spans="1:12">
      <c r="A506" s="3">
        <v>45420</v>
      </c>
      <c r="B506" t="s">
        <v>45</v>
      </c>
      <c r="C506" s="5">
        <v>15</v>
      </c>
      <c r="D506" s="7">
        <v>47.45</v>
      </c>
      <c r="E506" s="7">
        <f>Ventas[[#This Row],[CANTIDAD]]*Ventas[[#This Row],[PRECIO_UNIT]]</f>
        <v>711.75</v>
      </c>
      <c r="F506" s="7">
        <f>Ventas[[#This Row],[SUBTOTAL]]*0.16</f>
        <v>113.88</v>
      </c>
      <c r="G506" s="7">
        <v>8.0000000000040927E-2</v>
      </c>
      <c r="H506" s="7">
        <f>Ventas[[#This Row],[SUBTOTAL]]+Ventas[[#This Row],[IVA]]+Ventas[[#This Row],[DESCUENTO/EXTRA]]</f>
        <v>825.71</v>
      </c>
      <c r="I506" t="s">
        <v>23</v>
      </c>
      <c r="J506" t="s">
        <v>47</v>
      </c>
      <c r="K506" t="s">
        <v>15</v>
      </c>
      <c r="L506" t="s">
        <v>16</v>
      </c>
    </row>
    <row r="507" spans="1:12">
      <c r="A507" s="3">
        <v>45422</v>
      </c>
      <c r="B507" t="s">
        <v>37</v>
      </c>
      <c r="C507" s="5">
        <v>10</v>
      </c>
      <c r="D507" s="7">
        <v>24.68</v>
      </c>
      <c r="E507" s="7">
        <f>Ventas[[#This Row],[CANTIDAD]]*Ventas[[#This Row],[PRECIO_UNIT]]</f>
        <v>246.8</v>
      </c>
      <c r="F507" s="7">
        <f>Ventas[[#This Row],[SUBTOTAL]]*0.16</f>
        <v>39.488</v>
      </c>
      <c r="G507" s="7">
        <v>5.1999999999964075E-2</v>
      </c>
      <c r="H507" s="7">
        <f>Ventas[[#This Row],[SUBTOTAL]]+Ventas[[#This Row],[IVA]]+Ventas[[#This Row],[DESCUENTO/EXTRA]]</f>
        <v>286.33999999999997</v>
      </c>
      <c r="I507" t="s">
        <v>23</v>
      </c>
      <c r="J507" t="s">
        <v>36</v>
      </c>
      <c r="K507" t="s">
        <v>15</v>
      </c>
      <c r="L507" t="s">
        <v>16</v>
      </c>
    </row>
    <row r="508" spans="1:12">
      <c r="A508" s="3">
        <v>45423</v>
      </c>
      <c r="B508" t="s">
        <v>17</v>
      </c>
      <c r="C508" s="5">
        <v>10</v>
      </c>
      <c r="D508" s="7">
        <v>35</v>
      </c>
      <c r="E508" s="7">
        <f>Ventas[[#This Row],[CANTIDAD]]*Ventas[[#This Row],[PRECIO_UNIT]]</f>
        <v>350</v>
      </c>
      <c r="F508" s="7">
        <f>Ventas[[#This Row],[SUBTOTAL]]*0.16</f>
        <v>56</v>
      </c>
      <c r="G508" s="7">
        <v>6</v>
      </c>
      <c r="H508" s="7">
        <f>Ventas[[#This Row],[SUBTOTAL]]+Ventas[[#This Row],[IVA]]+Ventas[[#This Row],[DESCUENTO/EXTRA]]</f>
        <v>412</v>
      </c>
      <c r="I508" t="s">
        <v>13</v>
      </c>
      <c r="J508" t="s">
        <v>27</v>
      </c>
      <c r="K508" t="s">
        <v>15</v>
      </c>
      <c r="L508" t="s">
        <v>16</v>
      </c>
    </row>
    <row r="509" spans="1:12">
      <c r="A509" s="3">
        <v>45424</v>
      </c>
      <c r="B509" t="s">
        <v>37</v>
      </c>
      <c r="C509" s="5">
        <v>23</v>
      </c>
      <c r="D509" s="7">
        <v>22.77</v>
      </c>
      <c r="E509" s="7">
        <f>Ventas[[#This Row],[CANTIDAD]]*Ventas[[#This Row],[PRECIO_UNIT]]</f>
        <v>523.71</v>
      </c>
      <c r="F509" s="7">
        <f>Ventas[[#This Row],[SUBTOTAL]]*0.16</f>
        <v>83.793600000000012</v>
      </c>
      <c r="G509" s="7">
        <v>-0.50360000000000582</v>
      </c>
      <c r="H509" s="7">
        <f>Ventas[[#This Row],[SUBTOTAL]]+Ventas[[#This Row],[IVA]]+Ventas[[#This Row],[DESCUENTO/EXTRA]]</f>
        <v>607</v>
      </c>
      <c r="I509" t="s">
        <v>23</v>
      </c>
      <c r="J509" t="s">
        <v>36</v>
      </c>
      <c r="K509" t="s">
        <v>15</v>
      </c>
      <c r="L509" t="s">
        <v>16</v>
      </c>
    </row>
    <row r="510" spans="1:12">
      <c r="A510" s="3">
        <v>45425</v>
      </c>
      <c r="B510" t="s">
        <v>22</v>
      </c>
      <c r="C510" s="5">
        <v>5</v>
      </c>
      <c r="D510" s="7">
        <v>22.51</v>
      </c>
      <c r="E510" s="7">
        <f>Ventas[[#This Row],[CANTIDAD]]*Ventas[[#This Row],[PRECIO_UNIT]]</f>
        <v>112.55000000000001</v>
      </c>
      <c r="F510" s="7">
        <f>Ventas[[#This Row],[SUBTOTAL]]*0.16</f>
        <v>18.008000000000003</v>
      </c>
      <c r="G510" s="7">
        <v>-1.8000000000029104E-2</v>
      </c>
      <c r="H510" s="7">
        <f>Ventas[[#This Row],[SUBTOTAL]]+Ventas[[#This Row],[IVA]]+Ventas[[#This Row],[DESCUENTO/EXTRA]]</f>
        <v>130.54</v>
      </c>
      <c r="I510" t="s">
        <v>23</v>
      </c>
      <c r="J510" t="s">
        <v>56</v>
      </c>
      <c r="K510" t="s">
        <v>15</v>
      </c>
      <c r="L510" t="s">
        <v>16</v>
      </c>
    </row>
    <row r="511" spans="1:12">
      <c r="A511" s="3">
        <v>45427</v>
      </c>
      <c r="B511" t="s">
        <v>22</v>
      </c>
      <c r="C511" s="5">
        <v>30</v>
      </c>
      <c r="D511" s="7">
        <v>20</v>
      </c>
      <c r="E511" s="7">
        <f>Ventas[[#This Row],[CANTIDAD]]*Ventas[[#This Row],[PRECIO_UNIT]]</f>
        <v>600</v>
      </c>
      <c r="F511" s="7">
        <f>Ventas[[#This Row],[SUBTOTAL]]*0.16</f>
        <v>96</v>
      </c>
      <c r="G511" s="7">
        <v>27.220000000000027</v>
      </c>
      <c r="H511" s="7">
        <f>Ventas[[#This Row],[SUBTOTAL]]+Ventas[[#This Row],[IVA]]+Ventas[[#This Row],[DESCUENTO/EXTRA]]</f>
        <v>723.22</v>
      </c>
      <c r="I511" t="s">
        <v>32</v>
      </c>
      <c r="J511" t="s">
        <v>21</v>
      </c>
      <c r="K511" t="s">
        <v>25</v>
      </c>
      <c r="L511" t="s">
        <v>16</v>
      </c>
    </row>
    <row r="512" spans="1:12">
      <c r="A512" s="3">
        <v>45427</v>
      </c>
      <c r="B512" t="s">
        <v>45</v>
      </c>
      <c r="C512" s="5">
        <v>7</v>
      </c>
      <c r="D512" s="7">
        <v>44.9</v>
      </c>
      <c r="E512" s="7">
        <f>Ventas[[#This Row],[CANTIDAD]]*Ventas[[#This Row],[PRECIO_UNIT]]</f>
        <v>314.3</v>
      </c>
      <c r="F512" s="7">
        <f>Ventas[[#This Row],[SUBTOTAL]]*0.16</f>
        <v>50.288000000000004</v>
      </c>
      <c r="G512" s="7">
        <v>0.41199999999997772</v>
      </c>
      <c r="H512" s="7">
        <f>Ventas[[#This Row],[SUBTOTAL]]+Ventas[[#This Row],[IVA]]+Ventas[[#This Row],[DESCUENTO/EXTRA]]</f>
        <v>365</v>
      </c>
      <c r="I512" t="s">
        <v>23</v>
      </c>
      <c r="J512" t="s">
        <v>44</v>
      </c>
      <c r="K512" t="s">
        <v>25</v>
      </c>
      <c r="L512" t="s">
        <v>16</v>
      </c>
    </row>
    <row r="513" spans="1:12">
      <c r="A513" s="3">
        <v>45429</v>
      </c>
      <c r="B513" t="s">
        <v>28</v>
      </c>
      <c r="C513" s="5">
        <v>3</v>
      </c>
      <c r="D513" s="7">
        <v>81.12</v>
      </c>
      <c r="E513" s="7">
        <f>Ventas[[#This Row],[CANTIDAD]]*Ventas[[#This Row],[PRECIO_UNIT]]</f>
        <v>243.36</v>
      </c>
      <c r="F513" s="7">
        <f>Ventas[[#This Row],[SUBTOTAL]]*0.16</f>
        <v>38.937600000000003</v>
      </c>
      <c r="G513" s="7">
        <v>-0.29759999999998854</v>
      </c>
      <c r="H513" s="7">
        <f>Ventas[[#This Row],[SUBTOTAL]]+Ventas[[#This Row],[IVA]]+Ventas[[#This Row],[DESCUENTO/EXTRA]]</f>
        <v>282</v>
      </c>
      <c r="I513" t="s">
        <v>32</v>
      </c>
      <c r="J513" t="s">
        <v>29</v>
      </c>
      <c r="K513" t="s">
        <v>15</v>
      </c>
      <c r="L513" t="s">
        <v>16</v>
      </c>
    </row>
    <row r="514" spans="1:12">
      <c r="A514" s="3">
        <v>45431</v>
      </c>
      <c r="B514" t="s">
        <v>12</v>
      </c>
      <c r="C514" s="5">
        <v>25</v>
      </c>
      <c r="D514" s="7">
        <v>60</v>
      </c>
      <c r="E514" s="7">
        <f>Ventas[[#This Row],[CANTIDAD]]*Ventas[[#This Row],[PRECIO_UNIT]]</f>
        <v>1500</v>
      </c>
      <c r="F514" s="7">
        <f>Ventas[[#This Row],[SUBTOTAL]]*0.16</f>
        <v>240</v>
      </c>
      <c r="G514" s="7">
        <v>-13.75</v>
      </c>
      <c r="H514" s="7">
        <f>Ventas[[#This Row],[SUBTOTAL]]+Ventas[[#This Row],[IVA]]+Ventas[[#This Row],[DESCUENTO/EXTRA]]</f>
        <v>1726.25</v>
      </c>
      <c r="I514" t="s">
        <v>13</v>
      </c>
      <c r="J514" t="s">
        <v>55</v>
      </c>
      <c r="K514" t="s">
        <v>15</v>
      </c>
      <c r="L514" t="s">
        <v>16</v>
      </c>
    </row>
    <row r="515" spans="1:12">
      <c r="A515" s="3">
        <v>45431</v>
      </c>
      <c r="B515" t="s">
        <v>43</v>
      </c>
      <c r="C515" s="5">
        <v>10</v>
      </c>
      <c r="D515" s="7">
        <v>27.82</v>
      </c>
      <c r="E515" s="7">
        <f>Ventas[[#This Row],[CANTIDAD]]*Ventas[[#This Row],[PRECIO_UNIT]]</f>
        <v>278.2</v>
      </c>
      <c r="F515" s="7">
        <f>Ventas[[#This Row],[SUBTOTAL]]*0.16</f>
        <v>44.512</v>
      </c>
      <c r="G515" s="7">
        <v>8.0000000000381988E-3</v>
      </c>
      <c r="H515" s="7">
        <f>Ventas[[#This Row],[SUBTOTAL]]+Ventas[[#This Row],[IVA]]+Ventas[[#This Row],[DESCUENTO/EXTRA]]</f>
        <v>322.72000000000003</v>
      </c>
      <c r="I515" t="s">
        <v>32</v>
      </c>
      <c r="J515" t="s">
        <v>48</v>
      </c>
      <c r="K515" t="s">
        <v>15</v>
      </c>
      <c r="L515" t="s">
        <v>16</v>
      </c>
    </row>
    <row r="516" spans="1:12">
      <c r="A516" s="3">
        <v>45432</v>
      </c>
      <c r="B516" t="s">
        <v>26</v>
      </c>
      <c r="C516" s="5">
        <v>19</v>
      </c>
      <c r="D516" s="7">
        <v>43.35</v>
      </c>
      <c r="E516" s="7">
        <f>Ventas[[#This Row],[CANTIDAD]]*Ventas[[#This Row],[PRECIO_UNIT]]</f>
        <v>823.65</v>
      </c>
      <c r="F516" s="7">
        <f>Ventas[[#This Row],[SUBTOTAL]]*0.16</f>
        <v>131.78399999999999</v>
      </c>
      <c r="G516" s="7">
        <v>-6.399999999996453E-2</v>
      </c>
      <c r="H516" s="7">
        <f>Ventas[[#This Row],[SUBTOTAL]]+Ventas[[#This Row],[IVA]]+Ventas[[#This Row],[DESCUENTO/EXTRA]]</f>
        <v>955.37</v>
      </c>
      <c r="I516" t="s">
        <v>18</v>
      </c>
      <c r="J516" t="s">
        <v>14</v>
      </c>
      <c r="K516" t="s">
        <v>15</v>
      </c>
      <c r="L516" t="s">
        <v>16</v>
      </c>
    </row>
    <row r="517" spans="1:12">
      <c r="A517" s="3">
        <v>45437</v>
      </c>
      <c r="B517" t="s">
        <v>37</v>
      </c>
      <c r="C517" s="5">
        <v>10</v>
      </c>
      <c r="D517" s="7">
        <v>24.4</v>
      </c>
      <c r="E517" s="7">
        <f>Ventas[[#This Row],[CANTIDAD]]*Ventas[[#This Row],[PRECIO_UNIT]]</f>
        <v>244</v>
      </c>
      <c r="F517" s="7">
        <f>Ventas[[#This Row],[SUBTOTAL]]*0.16</f>
        <v>39.04</v>
      </c>
      <c r="G517" s="7">
        <v>3.999999999996362E-2</v>
      </c>
      <c r="H517" s="7">
        <f>Ventas[[#This Row],[SUBTOTAL]]+Ventas[[#This Row],[IVA]]+Ventas[[#This Row],[DESCUENTO/EXTRA]]</f>
        <v>283.08</v>
      </c>
      <c r="I517" t="s">
        <v>23</v>
      </c>
      <c r="J517" t="s">
        <v>33</v>
      </c>
      <c r="K517" t="s">
        <v>15</v>
      </c>
      <c r="L517" t="s">
        <v>16</v>
      </c>
    </row>
    <row r="518" spans="1:12">
      <c r="A518" s="3">
        <v>45438</v>
      </c>
      <c r="B518" t="s">
        <v>22</v>
      </c>
      <c r="C518" s="5">
        <v>27</v>
      </c>
      <c r="D518" s="7">
        <v>21</v>
      </c>
      <c r="E518" s="7">
        <f>Ventas[[#This Row],[CANTIDAD]]*Ventas[[#This Row],[PRECIO_UNIT]]</f>
        <v>567</v>
      </c>
      <c r="F518" s="7">
        <f>Ventas[[#This Row],[SUBTOTAL]]*0.16</f>
        <v>90.72</v>
      </c>
      <c r="G518" s="7">
        <v>14.139999999999986</v>
      </c>
      <c r="H518" s="7">
        <f>Ventas[[#This Row],[SUBTOTAL]]+Ventas[[#This Row],[IVA]]+Ventas[[#This Row],[DESCUENTO/EXTRA]]</f>
        <v>671.86</v>
      </c>
      <c r="I518" t="s">
        <v>32</v>
      </c>
      <c r="J518" t="s">
        <v>19</v>
      </c>
      <c r="K518" t="s">
        <v>25</v>
      </c>
      <c r="L518" t="s">
        <v>16</v>
      </c>
    </row>
    <row r="519" spans="1:12">
      <c r="A519" s="3">
        <v>45439</v>
      </c>
      <c r="B519" t="s">
        <v>40</v>
      </c>
      <c r="C519" s="5">
        <v>15</v>
      </c>
      <c r="D519" s="7">
        <v>31.09</v>
      </c>
      <c r="E519" s="7">
        <f>Ventas[[#This Row],[CANTIDAD]]*Ventas[[#This Row],[PRECIO_UNIT]]</f>
        <v>466.35</v>
      </c>
      <c r="F519" s="7">
        <f>Ventas[[#This Row],[SUBTOTAL]]*0.16</f>
        <v>74.616</v>
      </c>
      <c r="G519" s="7">
        <v>6.399999999996453E-2</v>
      </c>
      <c r="H519" s="7">
        <f>Ventas[[#This Row],[SUBTOTAL]]+Ventas[[#This Row],[IVA]]+Ventas[[#This Row],[DESCUENTO/EXTRA]]</f>
        <v>541.03</v>
      </c>
      <c r="I519" t="s">
        <v>23</v>
      </c>
      <c r="J519" t="s">
        <v>47</v>
      </c>
      <c r="K519" t="s">
        <v>15</v>
      </c>
      <c r="L519" t="s">
        <v>16</v>
      </c>
    </row>
    <row r="520" spans="1:12">
      <c r="A520" s="3">
        <v>45439</v>
      </c>
      <c r="B520" t="s">
        <v>46</v>
      </c>
      <c r="C520" s="5">
        <v>7</v>
      </c>
      <c r="D520" s="7">
        <v>25.3</v>
      </c>
      <c r="E520" s="7">
        <f>Ventas[[#This Row],[CANTIDAD]]*Ventas[[#This Row],[PRECIO_UNIT]]</f>
        <v>177.1</v>
      </c>
      <c r="F520" s="7">
        <f>Ventas[[#This Row],[SUBTOTAL]]*0.16</f>
        <v>28.335999999999999</v>
      </c>
      <c r="G520" s="7">
        <v>2.4000000000029331E-2</v>
      </c>
      <c r="H520" s="7">
        <f>Ventas[[#This Row],[SUBTOTAL]]+Ventas[[#This Row],[IVA]]+Ventas[[#This Row],[DESCUENTO/EXTRA]]</f>
        <v>205.46</v>
      </c>
      <c r="I520" t="s">
        <v>32</v>
      </c>
      <c r="J520" t="s">
        <v>51</v>
      </c>
      <c r="K520" t="s">
        <v>15</v>
      </c>
      <c r="L520" t="s">
        <v>16</v>
      </c>
    </row>
    <row r="521" spans="1:12">
      <c r="A521" s="3">
        <v>45440</v>
      </c>
      <c r="B521" t="s">
        <v>26</v>
      </c>
      <c r="C521" s="5">
        <v>1</v>
      </c>
      <c r="D521" s="7">
        <v>39.06</v>
      </c>
      <c r="E521" s="7">
        <f>Ventas[[#This Row],[CANTIDAD]]*Ventas[[#This Row],[PRECIO_UNIT]]</f>
        <v>39.06</v>
      </c>
      <c r="F521" s="7">
        <f>Ventas[[#This Row],[SUBTOTAL]]*0.16</f>
        <v>6.2496000000000009</v>
      </c>
      <c r="G521" s="7">
        <v>3.9999999999906777E-4</v>
      </c>
      <c r="H521" s="7">
        <f>Ventas[[#This Row],[SUBTOTAL]]+Ventas[[#This Row],[IVA]]+Ventas[[#This Row],[DESCUENTO/EXTRA]]</f>
        <v>45.31</v>
      </c>
      <c r="I521" t="s">
        <v>41</v>
      </c>
      <c r="J521" t="s">
        <v>51</v>
      </c>
      <c r="K521" t="s">
        <v>15</v>
      </c>
      <c r="L521" t="s">
        <v>16</v>
      </c>
    </row>
    <row r="522" spans="1:12">
      <c r="A522" s="3">
        <v>45443</v>
      </c>
      <c r="B522" t="s">
        <v>12</v>
      </c>
      <c r="C522" s="5">
        <v>7</v>
      </c>
      <c r="D522" s="7">
        <v>60.72</v>
      </c>
      <c r="E522" s="7">
        <f>Ventas[[#This Row],[CANTIDAD]]*Ventas[[#This Row],[PRECIO_UNIT]]</f>
        <v>425.03999999999996</v>
      </c>
      <c r="F522" s="7">
        <f>Ventas[[#This Row],[SUBTOTAL]]*0.16</f>
        <v>68.006399999999999</v>
      </c>
      <c r="G522" s="7">
        <v>-2.6399999999966894E-2</v>
      </c>
      <c r="H522" s="7">
        <f>Ventas[[#This Row],[SUBTOTAL]]+Ventas[[#This Row],[IVA]]+Ventas[[#This Row],[DESCUENTO/EXTRA]]</f>
        <v>493.02</v>
      </c>
      <c r="I522" t="s">
        <v>23</v>
      </c>
      <c r="J522" t="s">
        <v>36</v>
      </c>
      <c r="K522" t="s">
        <v>15</v>
      </c>
      <c r="L522" t="s">
        <v>16</v>
      </c>
    </row>
    <row r="523" spans="1:12">
      <c r="A523" s="3">
        <v>45443</v>
      </c>
      <c r="B523" t="s">
        <v>45</v>
      </c>
      <c r="C523" s="5">
        <v>25</v>
      </c>
      <c r="D523" s="7">
        <v>46.66</v>
      </c>
      <c r="E523" s="7">
        <f>Ventas[[#This Row],[CANTIDAD]]*Ventas[[#This Row],[PRECIO_UNIT]]</f>
        <v>1166.5</v>
      </c>
      <c r="F523" s="7">
        <f>Ventas[[#This Row],[SUBTOTAL]]*0.16</f>
        <v>186.64000000000001</v>
      </c>
      <c r="G523" s="7">
        <v>-0.14000000000010004</v>
      </c>
      <c r="H523" s="7">
        <f>Ventas[[#This Row],[SUBTOTAL]]+Ventas[[#This Row],[IVA]]+Ventas[[#This Row],[DESCUENTO/EXTRA]]</f>
        <v>1353</v>
      </c>
      <c r="I523" t="s">
        <v>18</v>
      </c>
      <c r="J523" t="s">
        <v>27</v>
      </c>
      <c r="K523" t="s">
        <v>15</v>
      </c>
      <c r="L523" t="s">
        <v>16</v>
      </c>
    </row>
    <row r="524" spans="1:12">
      <c r="A524" s="3">
        <v>45444</v>
      </c>
      <c r="B524" t="s">
        <v>40</v>
      </c>
      <c r="C524" s="5">
        <v>26</v>
      </c>
      <c r="D524" s="7">
        <v>33.869999999999997</v>
      </c>
      <c r="E524" s="7">
        <f>Ventas[[#This Row],[CANTIDAD]]*Ventas[[#This Row],[PRECIO_UNIT]]</f>
        <v>880.61999999999989</v>
      </c>
      <c r="F524" s="7">
        <f>Ventas[[#This Row],[SUBTOTAL]]*0.16</f>
        <v>140.89919999999998</v>
      </c>
      <c r="G524" s="7">
        <v>-2.9199999999832471E-2</v>
      </c>
      <c r="H524" s="7">
        <f>Ventas[[#This Row],[SUBTOTAL]]+Ventas[[#This Row],[IVA]]+Ventas[[#This Row],[DESCUENTO/EXTRA]]</f>
        <v>1021.49</v>
      </c>
      <c r="I524" t="s">
        <v>23</v>
      </c>
      <c r="J524" t="s">
        <v>33</v>
      </c>
      <c r="K524" t="s">
        <v>15</v>
      </c>
      <c r="L524" t="s">
        <v>16</v>
      </c>
    </row>
    <row r="525" spans="1:12">
      <c r="A525" s="3">
        <v>45446</v>
      </c>
      <c r="B525" t="s">
        <v>37</v>
      </c>
      <c r="C525" s="5">
        <v>23</v>
      </c>
      <c r="D525" s="7">
        <v>24</v>
      </c>
      <c r="E525" s="7">
        <f>Ventas[[#This Row],[CANTIDAD]]*Ventas[[#This Row],[PRECIO_UNIT]]</f>
        <v>552</v>
      </c>
      <c r="F525" s="7">
        <f>Ventas[[#This Row],[SUBTOTAL]]*0.16</f>
        <v>88.320000000000007</v>
      </c>
      <c r="G525" s="7">
        <v>2.2299999999999045</v>
      </c>
      <c r="H525" s="7">
        <f>Ventas[[#This Row],[SUBTOTAL]]+Ventas[[#This Row],[IVA]]+Ventas[[#This Row],[DESCUENTO/EXTRA]]</f>
        <v>642.54999999999995</v>
      </c>
      <c r="I525" t="s">
        <v>18</v>
      </c>
      <c r="J525" t="s">
        <v>51</v>
      </c>
      <c r="K525" t="s">
        <v>25</v>
      </c>
      <c r="L525" t="s">
        <v>16</v>
      </c>
    </row>
    <row r="526" spans="1:12">
      <c r="A526" s="3">
        <v>45446</v>
      </c>
      <c r="B526" t="s">
        <v>46</v>
      </c>
      <c r="C526" s="5">
        <v>24</v>
      </c>
      <c r="D526" s="7">
        <v>25.39</v>
      </c>
      <c r="E526" s="7">
        <f>Ventas[[#This Row],[CANTIDAD]]*Ventas[[#This Row],[PRECIO_UNIT]]</f>
        <v>609.36</v>
      </c>
      <c r="F526" s="7">
        <f>Ventas[[#This Row],[SUBTOTAL]]*0.16</f>
        <v>97.497600000000006</v>
      </c>
      <c r="G526" s="7">
        <v>5.239999999992051E-2</v>
      </c>
      <c r="H526" s="7">
        <f>Ventas[[#This Row],[SUBTOTAL]]+Ventas[[#This Row],[IVA]]+Ventas[[#This Row],[DESCUENTO/EXTRA]]</f>
        <v>706.91</v>
      </c>
      <c r="I526" t="s">
        <v>23</v>
      </c>
      <c r="J526" t="s">
        <v>38</v>
      </c>
      <c r="K526" t="s">
        <v>25</v>
      </c>
      <c r="L526" t="s">
        <v>16</v>
      </c>
    </row>
    <row r="527" spans="1:12">
      <c r="A527" s="3">
        <v>45446</v>
      </c>
      <c r="B527" t="s">
        <v>40</v>
      </c>
      <c r="C527" s="5">
        <v>8</v>
      </c>
      <c r="D527" s="7">
        <v>35.11</v>
      </c>
      <c r="E527" s="7">
        <f>Ventas[[#This Row],[CANTIDAD]]*Ventas[[#This Row],[PRECIO_UNIT]]</f>
        <v>280.88</v>
      </c>
      <c r="F527" s="7">
        <f>Ventas[[#This Row],[SUBTOTAL]]*0.16</f>
        <v>44.940800000000003</v>
      </c>
      <c r="G527" s="7">
        <v>0.17919999999998026</v>
      </c>
      <c r="H527" s="7">
        <f>Ventas[[#This Row],[SUBTOTAL]]+Ventas[[#This Row],[IVA]]+Ventas[[#This Row],[DESCUENTO/EXTRA]]</f>
        <v>326</v>
      </c>
      <c r="I527" t="s">
        <v>23</v>
      </c>
      <c r="J527" t="s">
        <v>39</v>
      </c>
      <c r="K527" t="s">
        <v>25</v>
      </c>
      <c r="L527" t="s">
        <v>16</v>
      </c>
    </row>
    <row r="528" spans="1:12">
      <c r="A528" s="3">
        <v>45448</v>
      </c>
      <c r="B528" t="s">
        <v>12</v>
      </c>
      <c r="C528" s="5">
        <v>7</v>
      </c>
      <c r="D528" s="7">
        <v>59.43</v>
      </c>
      <c r="E528" s="7">
        <f>Ventas[[#This Row],[CANTIDAD]]*Ventas[[#This Row],[PRECIO_UNIT]]</f>
        <v>416.01</v>
      </c>
      <c r="F528" s="7">
        <f>Ventas[[#This Row],[SUBTOTAL]]*0.16</f>
        <v>66.561599999999999</v>
      </c>
      <c r="G528" s="7">
        <v>-1.1599999999987176E-2</v>
      </c>
      <c r="H528" s="7">
        <f>Ventas[[#This Row],[SUBTOTAL]]+Ventas[[#This Row],[IVA]]+Ventas[[#This Row],[DESCUENTO/EXTRA]]</f>
        <v>482.56</v>
      </c>
      <c r="I528" t="s">
        <v>23</v>
      </c>
      <c r="J528" t="s">
        <v>39</v>
      </c>
      <c r="K528" t="s">
        <v>25</v>
      </c>
      <c r="L528" t="s">
        <v>16</v>
      </c>
    </row>
    <row r="529" spans="1:12">
      <c r="A529" s="3">
        <v>45449</v>
      </c>
      <c r="B529" t="s">
        <v>40</v>
      </c>
      <c r="C529" s="5">
        <v>1</v>
      </c>
      <c r="D529" s="7">
        <v>35.4</v>
      </c>
      <c r="E529" s="7">
        <f>Ventas[[#This Row],[CANTIDAD]]*Ventas[[#This Row],[PRECIO_UNIT]]</f>
        <v>35.4</v>
      </c>
      <c r="F529" s="7">
        <f>Ventas[[#This Row],[SUBTOTAL]]*0.16</f>
        <v>5.6639999999999997</v>
      </c>
      <c r="G529" s="7">
        <v>-3.9999999999977831E-3</v>
      </c>
      <c r="H529" s="7">
        <f>Ventas[[#This Row],[SUBTOTAL]]+Ventas[[#This Row],[IVA]]+Ventas[[#This Row],[DESCUENTO/EXTRA]]</f>
        <v>41.06</v>
      </c>
      <c r="I529" t="s">
        <v>23</v>
      </c>
      <c r="J529" t="s">
        <v>51</v>
      </c>
      <c r="K529" t="s">
        <v>15</v>
      </c>
      <c r="L529" t="s">
        <v>16</v>
      </c>
    </row>
    <row r="530" spans="1:12">
      <c r="A530" s="3">
        <v>45451</v>
      </c>
      <c r="B530" t="s">
        <v>46</v>
      </c>
      <c r="C530" s="5">
        <v>1</v>
      </c>
      <c r="D530" s="7">
        <v>25.69</v>
      </c>
      <c r="E530" s="7">
        <f>Ventas[[#This Row],[CANTIDAD]]*Ventas[[#This Row],[PRECIO_UNIT]]</f>
        <v>25.69</v>
      </c>
      <c r="F530" s="7">
        <f>Ventas[[#This Row],[SUBTOTAL]]*0.16</f>
        <v>4.1104000000000003</v>
      </c>
      <c r="G530" s="7">
        <v>-4.0000000000262048E-4</v>
      </c>
      <c r="H530" s="7">
        <f>Ventas[[#This Row],[SUBTOTAL]]+Ventas[[#This Row],[IVA]]+Ventas[[#This Row],[DESCUENTO/EXTRA]]</f>
        <v>29.8</v>
      </c>
      <c r="I530" t="s">
        <v>18</v>
      </c>
      <c r="J530" t="s">
        <v>34</v>
      </c>
      <c r="K530" t="s">
        <v>15</v>
      </c>
      <c r="L530" t="s">
        <v>16</v>
      </c>
    </row>
    <row r="531" spans="1:12">
      <c r="A531" s="3">
        <v>45451</v>
      </c>
      <c r="B531" t="s">
        <v>43</v>
      </c>
      <c r="C531" s="5">
        <v>8</v>
      </c>
      <c r="D531" s="7">
        <v>28.51</v>
      </c>
      <c r="E531" s="7">
        <f>Ventas[[#This Row],[CANTIDAD]]*Ventas[[#This Row],[PRECIO_UNIT]]</f>
        <v>228.08</v>
      </c>
      <c r="F531" s="7">
        <f>Ventas[[#This Row],[SUBTOTAL]]*0.16</f>
        <v>36.492800000000003</v>
      </c>
      <c r="G531" s="7">
        <v>0.42719999999997071</v>
      </c>
      <c r="H531" s="7">
        <f>Ventas[[#This Row],[SUBTOTAL]]+Ventas[[#This Row],[IVA]]+Ventas[[#This Row],[DESCUENTO/EXTRA]]</f>
        <v>265</v>
      </c>
      <c r="I531" t="s">
        <v>23</v>
      </c>
      <c r="J531" t="s">
        <v>30</v>
      </c>
      <c r="K531" t="s">
        <v>15</v>
      </c>
      <c r="L531" t="s">
        <v>16</v>
      </c>
    </row>
    <row r="532" spans="1:12">
      <c r="A532" s="3">
        <v>45451</v>
      </c>
      <c r="B532" t="s">
        <v>46</v>
      </c>
      <c r="C532" s="5">
        <v>17</v>
      </c>
      <c r="D532" s="7">
        <v>28.34</v>
      </c>
      <c r="E532" s="7">
        <f>Ventas[[#This Row],[CANTIDAD]]*Ventas[[#This Row],[PRECIO_UNIT]]</f>
        <v>481.78</v>
      </c>
      <c r="F532" s="7">
        <f>Ventas[[#This Row],[SUBTOTAL]]*0.16</f>
        <v>77.084800000000001</v>
      </c>
      <c r="G532" s="7">
        <v>-5.4800000000000182E-2</v>
      </c>
      <c r="H532" s="7">
        <f>Ventas[[#This Row],[SUBTOTAL]]+Ventas[[#This Row],[IVA]]+Ventas[[#This Row],[DESCUENTO/EXTRA]]</f>
        <v>558.80999999999995</v>
      </c>
      <c r="I532" t="s">
        <v>23</v>
      </c>
      <c r="J532" t="s">
        <v>29</v>
      </c>
      <c r="K532" t="s">
        <v>15</v>
      </c>
      <c r="L532" t="s">
        <v>16</v>
      </c>
    </row>
    <row r="533" spans="1:12">
      <c r="A533" s="3">
        <v>45452</v>
      </c>
      <c r="B533" t="s">
        <v>26</v>
      </c>
      <c r="C533" s="5">
        <v>25</v>
      </c>
      <c r="D533" s="7">
        <v>39.42</v>
      </c>
      <c r="E533" s="7">
        <f>Ventas[[#This Row],[CANTIDAD]]*Ventas[[#This Row],[PRECIO_UNIT]]</f>
        <v>985.5</v>
      </c>
      <c r="F533" s="7">
        <f>Ventas[[#This Row],[SUBTOTAL]]*0.16</f>
        <v>157.68</v>
      </c>
      <c r="G533" s="7">
        <v>-6.0000000000172804E-2</v>
      </c>
      <c r="H533" s="7">
        <f>Ventas[[#This Row],[SUBTOTAL]]+Ventas[[#This Row],[IVA]]+Ventas[[#This Row],[DESCUENTO/EXTRA]]</f>
        <v>1143.1199999999999</v>
      </c>
      <c r="I533" t="s">
        <v>41</v>
      </c>
      <c r="J533" t="s">
        <v>14</v>
      </c>
      <c r="K533" t="s">
        <v>25</v>
      </c>
      <c r="L533" t="s">
        <v>16</v>
      </c>
    </row>
    <row r="534" spans="1:12">
      <c r="A534" s="3">
        <v>45452</v>
      </c>
      <c r="B534" t="s">
        <v>28</v>
      </c>
      <c r="C534" s="5">
        <v>7</v>
      </c>
      <c r="D534" s="7">
        <v>84</v>
      </c>
      <c r="E534" s="7">
        <f>Ventas[[#This Row],[CANTIDAD]]*Ventas[[#This Row],[PRECIO_UNIT]]</f>
        <v>588</v>
      </c>
      <c r="F534" s="7">
        <f>Ventas[[#This Row],[SUBTOTAL]]*0.16</f>
        <v>94.08</v>
      </c>
      <c r="G534" s="7">
        <v>0.14999999999997726</v>
      </c>
      <c r="H534" s="7">
        <f>Ventas[[#This Row],[SUBTOTAL]]+Ventas[[#This Row],[IVA]]+Ventas[[#This Row],[DESCUENTO/EXTRA]]</f>
        <v>682.23</v>
      </c>
      <c r="I534" t="s">
        <v>13</v>
      </c>
      <c r="J534" t="s">
        <v>48</v>
      </c>
      <c r="K534" t="s">
        <v>15</v>
      </c>
      <c r="L534" t="s">
        <v>16</v>
      </c>
    </row>
    <row r="535" spans="1:12">
      <c r="A535" s="3">
        <v>45452</v>
      </c>
      <c r="B535" t="s">
        <v>12</v>
      </c>
      <c r="C535" s="5">
        <v>4</v>
      </c>
      <c r="D535" s="7">
        <v>55.31</v>
      </c>
      <c r="E535" s="7">
        <f>Ventas[[#This Row],[CANTIDAD]]*Ventas[[#This Row],[PRECIO_UNIT]]</f>
        <v>221.24</v>
      </c>
      <c r="F535" s="7">
        <f>Ventas[[#This Row],[SUBTOTAL]]*0.16</f>
        <v>35.398400000000002</v>
      </c>
      <c r="G535" s="7">
        <v>1.5999999999962711E-3</v>
      </c>
      <c r="H535" s="7">
        <f>Ventas[[#This Row],[SUBTOTAL]]+Ventas[[#This Row],[IVA]]+Ventas[[#This Row],[DESCUENTO/EXTRA]]</f>
        <v>256.64</v>
      </c>
      <c r="I535" t="s">
        <v>18</v>
      </c>
      <c r="J535" t="s">
        <v>50</v>
      </c>
      <c r="K535" t="s">
        <v>15</v>
      </c>
      <c r="L535" t="s">
        <v>16</v>
      </c>
    </row>
    <row r="536" spans="1:12">
      <c r="A536" s="3">
        <v>45452</v>
      </c>
      <c r="B536" t="s">
        <v>46</v>
      </c>
      <c r="C536" s="5">
        <v>17</v>
      </c>
      <c r="D536" s="7">
        <v>26</v>
      </c>
      <c r="E536" s="7">
        <f>Ventas[[#This Row],[CANTIDAD]]*Ventas[[#This Row],[PRECIO_UNIT]]</f>
        <v>442</v>
      </c>
      <c r="F536" s="7">
        <f>Ventas[[#This Row],[SUBTOTAL]]*0.16</f>
        <v>70.72</v>
      </c>
      <c r="G536" s="7">
        <v>16.799999999999955</v>
      </c>
      <c r="H536" s="7">
        <f>Ventas[[#This Row],[SUBTOTAL]]+Ventas[[#This Row],[IVA]]+Ventas[[#This Row],[DESCUENTO/EXTRA]]</f>
        <v>529.52</v>
      </c>
      <c r="I536" t="s">
        <v>18</v>
      </c>
      <c r="J536" t="s">
        <v>56</v>
      </c>
      <c r="K536" t="s">
        <v>25</v>
      </c>
      <c r="L536" t="s">
        <v>16</v>
      </c>
    </row>
    <row r="537" spans="1:12">
      <c r="A537" s="3">
        <v>45452</v>
      </c>
      <c r="B537" t="s">
        <v>20</v>
      </c>
      <c r="C537" s="5">
        <v>3</v>
      </c>
      <c r="D537" s="7">
        <v>12.13</v>
      </c>
      <c r="E537" s="7">
        <f>Ventas[[#This Row],[CANTIDAD]]*Ventas[[#This Row],[PRECIO_UNIT]]</f>
        <v>36.39</v>
      </c>
      <c r="F537" s="7">
        <f>Ventas[[#This Row],[SUBTOTAL]]*0.16</f>
        <v>5.8224</v>
      </c>
      <c r="G537" s="7">
        <v>-2.400000000001512E-3</v>
      </c>
      <c r="H537" s="7">
        <f>Ventas[[#This Row],[SUBTOTAL]]+Ventas[[#This Row],[IVA]]+Ventas[[#This Row],[DESCUENTO/EXTRA]]</f>
        <v>42.21</v>
      </c>
      <c r="I537" t="s">
        <v>23</v>
      </c>
      <c r="J537" t="s">
        <v>50</v>
      </c>
      <c r="K537" t="s">
        <v>25</v>
      </c>
      <c r="L537" t="s">
        <v>16</v>
      </c>
    </row>
    <row r="538" spans="1:12">
      <c r="A538" s="3">
        <v>45452</v>
      </c>
      <c r="B538" t="s">
        <v>22</v>
      </c>
      <c r="C538" s="5">
        <v>28</v>
      </c>
      <c r="D538" s="7">
        <v>22.79</v>
      </c>
      <c r="E538" s="7">
        <f>Ventas[[#This Row],[CANTIDAD]]*Ventas[[#This Row],[PRECIO_UNIT]]</f>
        <v>638.12</v>
      </c>
      <c r="F538" s="7">
        <f>Ventas[[#This Row],[SUBTOTAL]]*0.16</f>
        <v>102.0992</v>
      </c>
      <c r="G538" s="7">
        <v>8.0799999999953798E-2</v>
      </c>
      <c r="H538" s="7">
        <f>Ventas[[#This Row],[SUBTOTAL]]+Ventas[[#This Row],[IVA]]+Ventas[[#This Row],[DESCUENTO/EXTRA]]</f>
        <v>740.3</v>
      </c>
      <c r="I538" t="s">
        <v>18</v>
      </c>
      <c r="J538" t="s">
        <v>44</v>
      </c>
      <c r="K538" t="s">
        <v>15</v>
      </c>
      <c r="L538" t="s">
        <v>16</v>
      </c>
    </row>
    <row r="539" spans="1:12">
      <c r="A539" s="3">
        <v>45453</v>
      </c>
      <c r="B539" t="s">
        <v>46</v>
      </c>
      <c r="C539" s="5">
        <v>18</v>
      </c>
      <c r="D539" s="7">
        <v>28</v>
      </c>
      <c r="E539" s="7">
        <f>Ventas[[#This Row],[CANTIDAD]]*Ventas[[#This Row],[PRECIO_UNIT]]</f>
        <v>504</v>
      </c>
      <c r="F539" s="7">
        <f>Ventas[[#This Row],[SUBTOTAL]]*0.16</f>
        <v>80.64</v>
      </c>
      <c r="G539" s="7">
        <v>-3.5</v>
      </c>
      <c r="H539" s="7">
        <f>Ventas[[#This Row],[SUBTOTAL]]+Ventas[[#This Row],[IVA]]+Ventas[[#This Row],[DESCUENTO/EXTRA]]</f>
        <v>581.14</v>
      </c>
      <c r="I539" t="s">
        <v>32</v>
      </c>
      <c r="J539" t="s">
        <v>52</v>
      </c>
      <c r="K539" t="s">
        <v>25</v>
      </c>
      <c r="L539" t="s">
        <v>16</v>
      </c>
    </row>
    <row r="540" spans="1:12">
      <c r="A540" s="3">
        <v>45456</v>
      </c>
      <c r="B540" t="s">
        <v>46</v>
      </c>
      <c r="C540" s="5">
        <v>2</v>
      </c>
      <c r="D540" s="7">
        <v>28</v>
      </c>
      <c r="E540" s="7">
        <f>Ventas[[#This Row],[CANTIDAD]]*Ventas[[#This Row],[PRECIO_UNIT]]</f>
        <v>56</v>
      </c>
      <c r="F540" s="7">
        <f>Ventas[[#This Row],[SUBTOTAL]]*0.16</f>
        <v>8.9600000000000009</v>
      </c>
      <c r="G540" s="7">
        <v>3.9999999999992042E-2</v>
      </c>
      <c r="H540" s="7">
        <f>Ventas[[#This Row],[SUBTOTAL]]+Ventas[[#This Row],[IVA]]+Ventas[[#This Row],[DESCUENTO/EXTRA]]</f>
        <v>65</v>
      </c>
      <c r="I540" t="s">
        <v>18</v>
      </c>
      <c r="J540" t="s">
        <v>39</v>
      </c>
      <c r="K540" t="s">
        <v>25</v>
      </c>
      <c r="L540" t="s">
        <v>16</v>
      </c>
    </row>
    <row r="541" spans="1:12">
      <c r="A541" s="3">
        <v>45456</v>
      </c>
      <c r="B541" t="s">
        <v>40</v>
      </c>
      <c r="C541" s="5">
        <v>11</v>
      </c>
      <c r="D541" s="7">
        <v>33.06</v>
      </c>
      <c r="E541" s="7">
        <f>Ventas[[#This Row],[CANTIDAD]]*Ventas[[#This Row],[PRECIO_UNIT]]</f>
        <v>363.66</v>
      </c>
      <c r="F541" s="7">
        <f>Ventas[[#This Row],[SUBTOTAL]]*0.16</f>
        <v>58.185600000000008</v>
      </c>
      <c r="G541" s="7">
        <v>4.3999999999755346E-3</v>
      </c>
      <c r="H541" s="7">
        <f>Ventas[[#This Row],[SUBTOTAL]]+Ventas[[#This Row],[IVA]]+Ventas[[#This Row],[DESCUENTO/EXTRA]]</f>
        <v>421.85</v>
      </c>
      <c r="I541" t="s">
        <v>18</v>
      </c>
      <c r="J541" t="s">
        <v>39</v>
      </c>
      <c r="K541" t="s">
        <v>15</v>
      </c>
      <c r="L541" t="s">
        <v>16</v>
      </c>
    </row>
    <row r="542" spans="1:12">
      <c r="A542" s="3">
        <v>45457</v>
      </c>
      <c r="B542" t="s">
        <v>28</v>
      </c>
      <c r="C542" s="5">
        <v>5</v>
      </c>
      <c r="D542" s="7">
        <v>78</v>
      </c>
      <c r="E542" s="7">
        <f>Ventas[[#This Row],[CANTIDAD]]*Ventas[[#This Row],[PRECIO_UNIT]]</f>
        <v>390</v>
      </c>
      <c r="F542" s="7">
        <f>Ventas[[#This Row],[SUBTOTAL]]*0.16</f>
        <v>62.4</v>
      </c>
      <c r="G542" s="7">
        <v>0.27000000000003865</v>
      </c>
      <c r="H542" s="7">
        <f>Ventas[[#This Row],[SUBTOTAL]]+Ventas[[#This Row],[IVA]]+Ventas[[#This Row],[DESCUENTO/EXTRA]]</f>
        <v>452.67</v>
      </c>
      <c r="I542" t="s">
        <v>23</v>
      </c>
      <c r="J542" t="s">
        <v>27</v>
      </c>
      <c r="K542" t="s">
        <v>25</v>
      </c>
      <c r="L542" t="s">
        <v>16</v>
      </c>
    </row>
    <row r="543" spans="1:12">
      <c r="A543" s="3">
        <v>45458</v>
      </c>
      <c r="B543" t="s">
        <v>37</v>
      </c>
      <c r="C543" s="5">
        <v>29</v>
      </c>
      <c r="D543" s="7">
        <v>23.93</v>
      </c>
      <c r="E543" s="7">
        <f>Ventas[[#This Row],[CANTIDAD]]*Ventas[[#This Row],[PRECIO_UNIT]]</f>
        <v>693.97</v>
      </c>
      <c r="F543" s="7">
        <f>Ventas[[#This Row],[SUBTOTAL]]*0.16</f>
        <v>111.0352</v>
      </c>
      <c r="G543" s="7">
        <v>7.4799999999981992E-2</v>
      </c>
      <c r="H543" s="7">
        <f>Ventas[[#This Row],[SUBTOTAL]]+Ventas[[#This Row],[IVA]]+Ventas[[#This Row],[DESCUENTO/EXTRA]]</f>
        <v>805.08</v>
      </c>
      <c r="I543" t="s">
        <v>18</v>
      </c>
      <c r="J543" t="s">
        <v>54</v>
      </c>
      <c r="K543" t="s">
        <v>15</v>
      </c>
      <c r="L543" t="s">
        <v>16</v>
      </c>
    </row>
    <row r="544" spans="1:12">
      <c r="A544" s="3">
        <v>45458</v>
      </c>
      <c r="B544" t="s">
        <v>20</v>
      </c>
      <c r="C544" s="5">
        <v>2</v>
      </c>
      <c r="D544" s="7">
        <v>11.39</v>
      </c>
      <c r="E544" s="7">
        <f>Ventas[[#This Row],[CANTIDAD]]*Ventas[[#This Row],[PRECIO_UNIT]]</f>
        <v>22.78</v>
      </c>
      <c r="F544" s="7">
        <f>Ventas[[#This Row],[SUBTOTAL]]*0.16</f>
        <v>3.6448</v>
      </c>
      <c r="G544" s="7">
        <v>-0.42480000000000118</v>
      </c>
      <c r="H544" s="7">
        <f>Ventas[[#This Row],[SUBTOTAL]]+Ventas[[#This Row],[IVA]]+Ventas[[#This Row],[DESCUENTO/EXTRA]]</f>
        <v>26</v>
      </c>
      <c r="I544" t="s">
        <v>32</v>
      </c>
      <c r="J544" t="s">
        <v>56</v>
      </c>
      <c r="K544" t="s">
        <v>25</v>
      </c>
      <c r="L544" t="s">
        <v>16</v>
      </c>
    </row>
    <row r="545" spans="1:12">
      <c r="A545" s="3">
        <v>45459</v>
      </c>
      <c r="B545" t="s">
        <v>22</v>
      </c>
      <c r="C545" s="5">
        <v>28</v>
      </c>
      <c r="D545" s="7">
        <v>21.09</v>
      </c>
      <c r="E545" s="7">
        <f>Ventas[[#This Row],[CANTIDAD]]*Ventas[[#This Row],[PRECIO_UNIT]]</f>
        <v>590.52</v>
      </c>
      <c r="F545" s="7">
        <f>Ventas[[#This Row],[SUBTOTAL]]*0.16</f>
        <v>94.483199999999997</v>
      </c>
      <c r="G545" s="7">
        <v>-7.3200000000042564E-2</v>
      </c>
      <c r="H545" s="7">
        <f>Ventas[[#This Row],[SUBTOTAL]]+Ventas[[#This Row],[IVA]]+Ventas[[#This Row],[DESCUENTO/EXTRA]]</f>
        <v>684.93</v>
      </c>
      <c r="I545" t="s">
        <v>23</v>
      </c>
      <c r="J545" t="s">
        <v>14</v>
      </c>
      <c r="K545" t="s">
        <v>25</v>
      </c>
      <c r="L545" t="s">
        <v>16</v>
      </c>
    </row>
    <row r="546" spans="1:12">
      <c r="A546" s="3">
        <v>45460</v>
      </c>
      <c r="B546" t="s">
        <v>45</v>
      </c>
      <c r="C546" s="5">
        <v>28</v>
      </c>
      <c r="D546" s="7">
        <v>44.88</v>
      </c>
      <c r="E546" s="7">
        <f>Ventas[[#This Row],[CANTIDAD]]*Ventas[[#This Row],[PRECIO_UNIT]]</f>
        <v>1256.6400000000001</v>
      </c>
      <c r="F546" s="7">
        <f>Ventas[[#This Row],[SUBTOTAL]]*0.16</f>
        <v>201.06240000000003</v>
      </c>
      <c r="G546" s="7">
        <v>2.7599999999893043E-2</v>
      </c>
      <c r="H546" s="7">
        <f>Ventas[[#This Row],[SUBTOTAL]]+Ventas[[#This Row],[IVA]]+Ventas[[#This Row],[DESCUENTO/EXTRA]]</f>
        <v>1457.73</v>
      </c>
      <c r="I546" t="s">
        <v>32</v>
      </c>
      <c r="J546" t="s">
        <v>48</v>
      </c>
      <c r="K546" t="s">
        <v>15</v>
      </c>
      <c r="L546" t="s">
        <v>16</v>
      </c>
    </row>
    <row r="547" spans="1:12">
      <c r="A547" s="3">
        <v>45460</v>
      </c>
      <c r="B547" t="s">
        <v>37</v>
      </c>
      <c r="C547" s="5">
        <v>1</v>
      </c>
      <c r="D547" s="7">
        <v>22.3</v>
      </c>
      <c r="E547" s="7">
        <f>Ventas[[#This Row],[CANTIDAD]]*Ventas[[#This Row],[PRECIO_UNIT]]</f>
        <v>22.3</v>
      </c>
      <c r="F547" s="7">
        <f>Ventas[[#This Row],[SUBTOTAL]]*0.16</f>
        <v>3.5680000000000001</v>
      </c>
      <c r="G547" s="7">
        <v>-8.0000000000026716E-3</v>
      </c>
      <c r="H547" s="7">
        <f>Ventas[[#This Row],[SUBTOTAL]]+Ventas[[#This Row],[IVA]]+Ventas[[#This Row],[DESCUENTO/EXTRA]]</f>
        <v>25.86</v>
      </c>
      <c r="I547" t="s">
        <v>32</v>
      </c>
      <c r="J547" t="s">
        <v>54</v>
      </c>
      <c r="K547" t="s">
        <v>25</v>
      </c>
      <c r="L547" t="s">
        <v>16</v>
      </c>
    </row>
    <row r="548" spans="1:12">
      <c r="A548" s="3">
        <v>45460</v>
      </c>
      <c r="B548" t="s">
        <v>28</v>
      </c>
      <c r="C548" s="5">
        <v>17</v>
      </c>
      <c r="D548" s="7">
        <v>80</v>
      </c>
      <c r="E548" s="7">
        <f>Ventas[[#This Row],[CANTIDAD]]*Ventas[[#This Row],[PRECIO_UNIT]]</f>
        <v>1360</v>
      </c>
      <c r="F548" s="7">
        <f>Ventas[[#This Row],[SUBTOTAL]]*0.16</f>
        <v>217.6</v>
      </c>
      <c r="G548" s="7">
        <v>-0.53999999999996362</v>
      </c>
      <c r="H548" s="7">
        <f>Ventas[[#This Row],[SUBTOTAL]]+Ventas[[#This Row],[IVA]]+Ventas[[#This Row],[DESCUENTO/EXTRA]]</f>
        <v>1577.06</v>
      </c>
      <c r="I548" t="s">
        <v>18</v>
      </c>
      <c r="J548" t="s">
        <v>50</v>
      </c>
      <c r="K548" t="s">
        <v>15</v>
      </c>
      <c r="L548" t="s">
        <v>16</v>
      </c>
    </row>
    <row r="549" spans="1:12">
      <c r="A549" s="3">
        <v>45461</v>
      </c>
      <c r="B549" t="s">
        <v>17</v>
      </c>
      <c r="C549" s="5">
        <v>30</v>
      </c>
      <c r="D549" s="7">
        <v>35.46</v>
      </c>
      <c r="E549" s="7">
        <f>Ventas[[#This Row],[CANTIDAD]]*Ventas[[#This Row],[PRECIO_UNIT]]</f>
        <v>1063.8</v>
      </c>
      <c r="F549" s="7">
        <f>Ventas[[#This Row],[SUBTOTAL]]*0.16</f>
        <v>170.208</v>
      </c>
      <c r="G549" s="7">
        <v>-8.7999999999965439E-2</v>
      </c>
      <c r="H549" s="7">
        <f>Ventas[[#This Row],[SUBTOTAL]]+Ventas[[#This Row],[IVA]]+Ventas[[#This Row],[DESCUENTO/EXTRA]]</f>
        <v>1233.92</v>
      </c>
      <c r="I549" t="s">
        <v>41</v>
      </c>
      <c r="J549" t="s">
        <v>29</v>
      </c>
      <c r="K549" t="s">
        <v>25</v>
      </c>
      <c r="L549" t="s">
        <v>16</v>
      </c>
    </row>
    <row r="550" spans="1:12">
      <c r="A550" s="3">
        <v>45462</v>
      </c>
      <c r="B550" t="s">
        <v>40</v>
      </c>
      <c r="C550" s="5">
        <v>22</v>
      </c>
      <c r="D550" s="7">
        <v>35</v>
      </c>
      <c r="E550" s="7">
        <f>Ventas[[#This Row],[CANTIDAD]]*Ventas[[#This Row],[PRECIO_UNIT]]</f>
        <v>770</v>
      </c>
      <c r="F550" s="7">
        <f>Ventas[[#This Row],[SUBTOTAL]]*0.16</f>
        <v>123.2</v>
      </c>
      <c r="G550" s="7">
        <v>8.6099999999999</v>
      </c>
      <c r="H550" s="7">
        <f>Ventas[[#This Row],[SUBTOTAL]]+Ventas[[#This Row],[IVA]]+Ventas[[#This Row],[DESCUENTO/EXTRA]]</f>
        <v>901.81</v>
      </c>
      <c r="I550" t="s">
        <v>23</v>
      </c>
      <c r="J550" t="s">
        <v>19</v>
      </c>
      <c r="K550" t="s">
        <v>15</v>
      </c>
      <c r="L550" t="s">
        <v>16</v>
      </c>
    </row>
    <row r="551" spans="1:12">
      <c r="A551" s="3">
        <v>45463</v>
      </c>
      <c r="B551" t="s">
        <v>12</v>
      </c>
      <c r="C551" s="5">
        <v>28</v>
      </c>
      <c r="D551" s="7">
        <v>52.79</v>
      </c>
      <c r="E551" s="7">
        <f>Ventas[[#This Row],[CANTIDAD]]*Ventas[[#This Row],[PRECIO_UNIT]]</f>
        <v>1478.12</v>
      </c>
      <c r="F551" s="7">
        <f>Ventas[[#This Row],[SUBTOTAL]]*0.16</f>
        <v>236.49919999999997</v>
      </c>
      <c r="G551" s="7">
        <v>0.3808000000001357</v>
      </c>
      <c r="H551" s="7">
        <f>Ventas[[#This Row],[SUBTOTAL]]+Ventas[[#This Row],[IVA]]+Ventas[[#This Row],[DESCUENTO/EXTRA]]</f>
        <v>1715</v>
      </c>
      <c r="I551" t="s">
        <v>18</v>
      </c>
      <c r="J551" t="s">
        <v>30</v>
      </c>
      <c r="K551" t="s">
        <v>15</v>
      </c>
      <c r="L551" t="s">
        <v>16</v>
      </c>
    </row>
    <row r="552" spans="1:12">
      <c r="A552" s="3">
        <v>45463</v>
      </c>
      <c r="B552" t="s">
        <v>12</v>
      </c>
      <c r="C552" s="5">
        <v>11</v>
      </c>
      <c r="D552" s="7">
        <v>54.77</v>
      </c>
      <c r="E552" s="7">
        <f>Ventas[[#This Row],[CANTIDAD]]*Ventas[[#This Row],[PRECIO_UNIT]]</f>
        <v>602.47</v>
      </c>
      <c r="F552" s="7">
        <f>Ventas[[#This Row],[SUBTOTAL]]*0.16</f>
        <v>96.395200000000003</v>
      </c>
      <c r="G552" s="7">
        <v>0.13479999999992742</v>
      </c>
      <c r="H552" s="7">
        <f>Ventas[[#This Row],[SUBTOTAL]]+Ventas[[#This Row],[IVA]]+Ventas[[#This Row],[DESCUENTO/EXTRA]]</f>
        <v>699</v>
      </c>
      <c r="I552" t="s">
        <v>18</v>
      </c>
      <c r="J552" t="s">
        <v>30</v>
      </c>
      <c r="K552" t="s">
        <v>25</v>
      </c>
      <c r="L552" t="s">
        <v>16</v>
      </c>
    </row>
    <row r="553" spans="1:12">
      <c r="A553" s="3">
        <v>45465</v>
      </c>
      <c r="B553" t="s">
        <v>35</v>
      </c>
      <c r="C553" s="5">
        <v>13</v>
      </c>
      <c r="D553" s="7">
        <v>28.16</v>
      </c>
      <c r="E553" s="7">
        <f>Ventas[[#This Row],[CANTIDAD]]*Ventas[[#This Row],[PRECIO_UNIT]]</f>
        <v>366.08</v>
      </c>
      <c r="F553" s="7">
        <f>Ventas[[#This Row],[SUBTOTAL]]*0.16</f>
        <v>58.572800000000001</v>
      </c>
      <c r="G553" s="7">
        <v>2.7200000000050295E-2</v>
      </c>
      <c r="H553" s="7">
        <f>Ventas[[#This Row],[SUBTOTAL]]+Ventas[[#This Row],[IVA]]+Ventas[[#This Row],[DESCUENTO/EXTRA]]</f>
        <v>424.68</v>
      </c>
      <c r="I553" t="s">
        <v>32</v>
      </c>
      <c r="J553" t="s">
        <v>39</v>
      </c>
      <c r="K553" t="s">
        <v>15</v>
      </c>
      <c r="L553" t="s">
        <v>16</v>
      </c>
    </row>
    <row r="554" spans="1:12">
      <c r="A554" s="3">
        <v>45466</v>
      </c>
      <c r="B554" t="s">
        <v>46</v>
      </c>
      <c r="C554" s="5">
        <v>1</v>
      </c>
      <c r="D554" s="7">
        <v>26</v>
      </c>
      <c r="E554" s="7">
        <f>Ventas[[#This Row],[CANTIDAD]]*Ventas[[#This Row],[PRECIO_UNIT]]</f>
        <v>26</v>
      </c>
      <c r="F554" s="7">
        <f>Ventas[[#This Row],[SUBTOTAL]]*0.16</f>
        <v>4.16</v>
      </c>
      <c r="G554" s="7">
        <v>-0.42000000000000171</v>
      </c>
      <c r="H554" s="7">
        <f>Ventas[[#This Row],[SUBTOTAL]]+Ventas[[#This Row],[IVA]]+Ventas[[#This Row],[DESCUENTO/EXTRA]]</f>
        <v>29.74</v>
      </c>
      <c r="I554" t="s">
        <v>23</v>
      </c>
      <c r="J554" t="s">
        <v>33</v>
      </c>
      <c r="K554" t="s">
        <v>15</v>
      </c>
      <c r="L554" t="s">
        <v>16</v>
      </c>
    </row>
    <row r="555" spans="1:12">
      <c r="A555" s="3">
        <v>45467</v>
      </c>
      <c r="B555" t="s">
        <v>46</v>
      </c>
      <c r="C555" s="5">
        <v>18</v>
      </c>
      <c r="D555" s="7">
        <v>27</v>
      </c>
      <c r="E555" s="7">
        <f>Ventas[[#This Row],[CANTIDAD]]*Ventas[[#This Row],[PRECIO_UNIT]]</f>
        <v>486</v>
      </c>
      <c r="F555" s="7">
        <f>Ventas[[#This Row],[SUBTOTAL]]*0.16</f>
        <v>77.760000000000005</v>
      </c>
      <c r="G555" s="7">
        <v>1.2400000000000091</v>
      </c>
      <c r="H555" s="7">
        <f>Ventas[[#This Row],[SUBTOTAL]]+Ventas[[#This Row],[IVA]]+Ventas[[#This Row],[DESCUENTO/EXTRA]]</f>
        <v>565</v>
      </c>
      <c r="I555" t="s">
        <v>23</v>
      </c>
      <c r="J555" t="s">
        <v>34</v>
      </c>
      <c r="K555" t="s">
        <v>25</v>
      </c>
      <c r="L555" t="s">
        <v>16</v>
      </c>
    </row>
    <row r="556" spans="1:12">
      <c r="A556" s="3">
        <v>45467</v>
      </c>
      <c r="B556" t="s">
        <v>28</v>
      </c>
      <c r="C556" s="5">
        <v>17</v>
      </c>
      <c r="D556" s="7">
        <v>85.37</v>
      </c>
      <c r="E556" s="7">
        <f>Ventas[[#This Row],[CANTIDAD]]*Ventas[[#This Row],[PRECIO_UNIT]]</f>
        <v>1451.29</v>
      </c>
      <c r="F556" s="7">
        <f>Ventas[[#This Row],[SUBTOTAL]]*0.16</f>
        <v>232.2064</v>
      </c>
      <c r="G556" s="7">
        <v>-6.3999999999850843E-3</v>
      </c>
      <c r="H556" s="7">
        <f>Ventas[[#This Row],[SUBTOTAL]]+Ventas[[#This Row],[IVA]]+Ventas[[#This Row],[DESCUENTO/EXTRA]]</f>
        <v>1683.49</v>
      </c>
      <c r="I556" t="s">
        <v>13</v>
      </c>
      <c r="J556" t="s">
        <v>53</v>
      </c>
      <c r="K556" t="s">
        <v>25</v>
      </c>
      <c r="L556" t="s">
        <v>16</v>
      </c>
    </row>
    <row r="557" spans="1:12">
      <c r="A557" s="3">
        <v>45467</v>
      </c>
      <c r="B557" t="s">
        <v>45</v>
      </c>
      <c r="C557" s="5">
        <v>23</v>
      </c>
      <c r="D557" s="7">
        <v>48</v>
      </c>
      <c r="E557" s="7">
        <f>Ventas[[#This Row],[CANTIDAD]]*Ventas[[#This Row],[PRECIO_UNIT]]</f>
        <v>1104</v>
      </c>
      <c r="F557" s="7">
        <f>Ventas[[#This Row],[SUBTOTAL]]*0.16</f>
        <v>176.64000000000001</v>
      </c>
      <c r="G557" s="7">
        <v>-5.6400000000001</v>
      </c>
      <c r="H557" s="7">
        <f>Ventas[[#This Row],[SUBTOTAL]]+Ventas[[#This Row],[IVA]]+Ventas[[#This Row],[DESCUENTO/EXTRA]]</f>
        <v>1275</v>
      </c>
      <c r="I557" t="s">
        <v>18</v>
      </c>
      <c r="J557" t="s">
        <v>27</v>
      </c>
      <c r="K557" t="s">
        <v>15</v>
      </c>
      <c r="L557" t="s">
        <v>16</v>
      </c>
    </row>
    <row r="558" spans="1:12">
      <c r="A558" s="3">
        <v>45467</v>
      </c>
      <c r="B558" t="s">
        <v>28</v>
      </c>
      <c r="C558" s="5">
        <v>17</v>
      </c>
      <c r="D558" s="7">
        <v>77.97</v>
      </c>
      <c r="E558" s="7">
        <f>Ventas[[#This Row],[CANTIDAD]]*Ventas[[#This Row],[PRECIO_UNIT]]</f>
        <v>1325.49</v>
      </c>
      <c r="F558" s="7">
        <f>Ventas[[#This Row],[SUBTOTAL]]*0.16</f>
        <v>212.07840000000002</v>
      </c>
      <c r="G558" s="7">
        <v>0.43159999999988941</v>
      </c>
      <c r="H558" s="7">
        <f>Ventas[[#This Row],[SUBTOTAL]]+Ventas[[#This Row],[IVA]]+Ventas[[#This Row],[DESCUENTO/EXTRA]]</f>
        <v>1538</v>
      </c>
      <c r="I558" t="s">
        <v>18</v>
      </c>
      <c r="J558" t="s">
        <v>30</v>
      </c>
      <c r="K558" t="s">
        <v>15</v>
      </c>
      <c r="L558" t="s">
        <v>16</v>
      </c>
    </row>
    <row r="559" spans="1:12">
      <c r="A559" s="3">
        <v>45469</v>
      </c>
      <c r="B559" t="s">
        <v>22</v>
      </c>
      <c r="C559" s="5">
        <v>26</v>
      </c>
      <c r="D559" s="7">
        <v>19.98</v>
      </c>
      <c r="E559" s="7">
        <f>Ventas[[#This Row],[CANTIDAD]]*Ventas[[#This Row],[PRECIO_UNIT]]</f>
        <v>519.48</v>
      </c>
      <c r="F559" s="7">
        <f>Ventas[[#This Row],[SUBTOTAL]]*0.16</f>
        <v>83.116799999999998</v>
      </c>
      <c r="G559" s="7">
        <v>-0.14679999999998472</v>
      </c>
      <c r="H559" s="7">
        <f>Ventas[[#This Row],[SUBTOTAL]]+Ventas[[#This Row],[IVA]]+Ventas[[#This Row],[DESCUENTO/EXTRA]]</f>
        <v>602.45000000000005</v>
      </c>
      <c r="I559" t="s">
        <v>23</v>
      </c>
      <c r="J559" t="s">
        <v>31</v>
      </c>
      <c r="K559" t="s">
        <v>15</v>
      </c>
      <c r="L559" t="s">
        <v>16</v>
      </c>
    </row>
    <row r="560" spans="1:12">
      <c r="A560" s="3">
        <v>45469</v>
      </c>
      <c r="B560" t="s">
        <v>26</v>
      </c>
      <c r="C560" s="5">
        <v>22</v>
      </c>
      <c r="D560" s="7">
        <v>42.46</v>
      </c>
      <c r="E560" s="7">
        <f>Ventas[[#This Row],[CANTIDAD]]*Ventas[[#This Row],[PRECIO_UNIT]]</f>
        <v>934.12</v>
      </c>
      <c r="F560" s="7">
        <f>Ventas[[#This Row],[SUBTOTAL]]*0.16</f>
        <v>149.45920000000001</v>
      </c>
      <c r="G560" s="7">
        <v>-0.57920000000012806</v>
      </c>
      <c r="H560" s="7">
        <f>Ventas[[#This Row],[SUBTOTAL]]+Ventas[[#This Row],[IVA]]+Ventas[[#This Row],[DESCUENTO/EXTRA]]</f>
        <v>1083</v>
      </c>
      <c r="I560" t="s">
        <v>32</v>
      </c>
      <c r="J560" t="s">
        <v>38</v>
      </c>
      <c r="K560" t="s">
        <v>25</v>
      </c>
      <c r="L560" t="s">
        <v>16</v>
      </c>
    </row>
    <row r="561" spans="1:12">
      <c r="A561" s="3">
        <v>45469</v>
      </c>
      <c r="B561" t="s">
        <v>46</v>
      </c>
      <c r="C561" s="5">
        <v>2</v>
      </c>
      <c r="D561" s="7">
        <v>26.72</v>
      </c>
      <c r="E561" s="7">
        <f>Ventas[[#This Row],[CANTIDAD]]*Ventas[[#This Row],[PRECIO_UNIT]]</f>
        <v>53.44</v>
      </c>
      <c r="F561" s="7">
        <f>Ventas[[#This Row],[SUBTOTAL]]*0.16</f>
        <v>8.5503999999999998</v>
      </c>
      <c r="G561" s="7">
        <v>9.6000000000060481E-3</v>
      </c>
      <c r="H561" s="7">
        <f>Ventas[[#This Row],[SUBTOTAL]]+Ventas[[#This Row],[IVA]]+Ventas[[#This Row],[DESCUENTO/EXTRA]]</f>
        <v>62</v>
      </c>
      <c r="I561" t="s">
        <v>18</v>
      </c>
      <c r="J561" t="s">
        <v>38</v>
      </c>
      <c r="K561" t="s">
        <v>25</v>
      </c>
      <c r="L561" t="s">
        <v>16</v>
      </c>
    </row>
    <row r="562" spans="1:12">
      <c r="A562" s="3">
        <v>45471</v>
      </c>
      <c r="B562" t="s">
        <v>45</v>
      </c>
      <c r="C562" s="5">
        <v>18</v>
      </c>
      <c r="D562" s="7">
        <v>47.2</v>
      </c>
      <c r="E562" s="7">
        <f>Ventas[[#This Row],[CANTIDAD]]*Ventas[[#This Row],[PRECIO_UNIT]]</f>
        <v>849.6</v>
      </c>
      <c r="F562" s="7">
        <f>Ventas[[#This Row],[SUBTOTAL]]*0.16</f>
        <v>135.93600000000001</v>
      </c>
      <c r="G562" s="7">
        <v>6.399999999996453E-2</v>
      </c>
      <c r="H562" s="7">
        <f>Ventas[[#This Row],[SUBTOTAL]]+Ventas[[#This Row],[IVA]]+Ventas[[#This Row],[DESCUENTO/EXTRA]]</f>
        <v>985.6</v>
      </c>
      <c r="I562" t="s">
        <v>13</v>
      </c>
      <c r="J562" t="s">
        <v>49</v>
      </c>
      <c r="K562" t="s">
        <v>15</v>
      </c>
      <c r="L562" t="s">
        <v>16</v>
      </c>
    </row>
    <row r="563" spans="1:12">
      <c r="A563" s="3">
        <v>45471</v>
      </c>
      <c r="B563" t="s">
        <v>40</v>
      </c>
      <c r="C563" s="5">
        <v>26</v>
      </c>
      <c r="D563" s="7">
        <v>35</v>
      </c>
      <c r="E563" s="7">
        <f>Ventas[[#This Row],[CANTIDAD]]*Ventas[[#This Row],[PRECIO_UNIT]]</f>
        <v>910</v>
      </c>
      <c r="F563" s="7">
        <f>Ventas[[#This Row],[SUBTOTAL]]*0.16</f>
        <v>145.6</v>
      </c>
      <c r="G563" s="7">
        <v>3.4000000000000909</v>
      </c>
      <c r="H563" s="7">
        <f>Ventas[[#This Row],[SUBTOTAL]]+Ventas[[#This Row],[IVA]]+Ventas[[#This Row],[DESCUENTO/EXTRA]]</f>
        <v>1059</v>
      </c>
      <c r="I563" t="s">
        <v>13</v>
      </c>
      <c r="J563" t="s">
        <v>33</v>
      </c>
      <c r="K563" t="s">
        <v>15</v>
      </c>
      <c r="L563" t="s">
        <v>16</v>
      </c>
    </row>
    <row r="564" spans="1:12">
      <c r="A564" s="3">
        <v>45472</v>
      </c>
      <c r="B564" t="s">
        <v>20</v>
      </c>
      <c r="C564" s="5">
        <v>27</v>
      </c>
      <c r="D564" s="7">
        <v>12.12</v>
      </c>
      <c r="E564" s="7">
        <f>Ventas[[#This Row],[CANTIDAD]]*Ventas[[#This Row],[PRECIO_UNIT]]</f>
        <v>327.23999999999995</v>
      </c>
      <c r="F564" s="7">
        <f>Ventas[[#This Row],[SUBTOTAL]]*0.16</f>
        <v>52.358399999999996</v>
      </c>
      <c r="G564" s="7">
        <v>0.11160000000000991</v>
      </c>
      <c r="H564" s="7">
        <f>Ventas[[#This Row],[SUBTOTAL]]+Ventas[[#This Row],[IVA]]+Ventas[[#This Row],[DESCUENTO/EXTRA]]</f>
        <v>379.71</v>
      </c>
      <c r="I564" t="s">
        <v>18</v>
      </c>
      <c r="J564" t="s">
        <v>51</v>
      </c>
      <c r="K564" t="s">
        <v>25</v>
      </c>
      <c r="L564" t="s">
        <v>16</v>
      </c>
    </row>
    <row r="565" spans="1:12">
      <c r="A565" s="3">
        <v>45472</v>
      </c>
      <c r="B565" t="s">
        <v>26</v>
      </c>
      <c r="C565" s="5">
        <v>25</v>
      </c>
      <c r="D565" s="7">
        <v>41.19</v>
      </c>
      <c r="E565" s="7">
        <f>Ventas[[#This Row],[CANTIDAD]]*Ventas[[#This Row],[PRECIO_UNIT]]</f>
        <v>1029.75</v>
      </c>
      <c r="F565" s="7">
        <f>Ventas[[#This Row],[SUBTOTAL]]*0.16</f>
        <v>164.76</v>
      </c>
      <c r="G565" s="7">
        <v>-0.11999999999989086</v>
      </c>
      <c r="H565" s="7">
        <f>Ventas[[#This Row],[SUBTOTAL]]+Ventas[[#This Row],[IVA]]+Ventas[[#This Row],[DESCUENTO/EXTRA]]</f>
        <v>1194.3900000000001</v>
      </c>
      <c r="I565" t="s">
        <v>18</v>
      </c>
      <c r="J565" t="s">
        <v>53</v>
      </c>
      <c r="K565" t="s">
        <v>25</v>
      </c>
      <c r="L565" t="s">
        <v>16</v>
      </c>
    </row>
    <row r="566" spans="1:12">
      <c r="A566" s="3">
        <v>45473</v>
      </c>
      <c r="B566" t="s">
        <v>43</v>
      </c>
      <c r="C566" s="5">
        <v>26</v>
      </c>
      <c r="D566" s="7">
        <v>28.27</v>
      </c>
      <c r="E566" s="7">
        <f>Ventas[[#This Row],[CANTIDAD]]*Ventas[[#This Row],[PRECIO_UNIT]]</f>
        <v>735.02</v>
      </c>
      <c r="F566" s="7">
        <f>Ventas[[#This Row],[SUBTOTAL]]*0.16</f>
        <v>117.6032</v>
      </c>
      <c r="G566" s="7">
        <v>6.680000000005748E-2</v>
      </c>
      <c r="H566" s="7">
        <f>Ventas[[#This Row],[SUBTOTAL]]+Ventas[[#This Row],[IVA]]+Ventas[[#This Row],[DESCUENTO/EXTRA]]</f>
        <v>852.69</v>
      </c>
      <c r="I566" t="s">
        <v>23</v>
      </c>
      <c r="J566" t="s">
        <v>14</v>
      </c>
      <c r="K566" t="s">
        <v>15</v>
      </c>
      <c r="L566" t="s">
        <v>16</v>
      </c>
    </row>
    <row r="567" spans="1:12">
      <c r="A567" s="3">
        <v>45474</v>
      </c>
      <c r="B567" t="s">
        <v>45</v>
      </c>
      <c r="C567" s="5">
        <v>22</v>
      </c>
      <c r="D567" s="7">
        <v>44</v>
      </c>
      <c r="E567" s="7">
        <f>Ventas[[#This Row],[CANTIDAD]]*Ventas[[#This Row],[PRECIO_UNIT]]</f>
        <v>968</v>
      </c>
      <c r="F567" s="7">
        <f>Ventas[[#This Row],[SUBTOTAL]]*0.16</f>
        <v>154.88</v>
      </c>
      <c r="G567" s="7">
        <v>10.739999999999782</v>
      </c>
      <c r="H567" s="7">
        <f>Ventas[[#This Row],[SUBTOTAL]]+Ventas[[#This Row],[IVA]]+Ventas[[#This Row],[DESCUENTO/EXTRA]]</f>
        <v>1133.6199999999999</v>
      </c>
      <c r="I567" t="s">
        <v>23</v>
      </c>
      <c r="J567" t="s">
        <v>29</v>
      </c>
      <c r="K567" t="s">
        <v>15</v>
      </c>
      <c r="L567" t="s">
        <v>16</v>
      </c>
    </row>
    <row r="568" spans="1:12">
      <c r="A568" s="3">
        <v>45475</v>
      </c>
      <c r="B568" t="s">
        <v>37</v>
      </c>
      <c r="C568" s="5">
        <v>1</v>
      </c>
      <c r="D568" s="7">
        <v>22.41</v>
      </c>
      <c r="E568" s="7">
        <f>Ventas[[#This Row],[CANTIDAD]]*Ventas[[#This Row],[PRECIO_UNIT]]</f>
        <v>22.41</v>
      </c>
      <c r="F568" s="7">
        <f>Ventas[[#This Row],[SUBTOTAL]]*0.16</f>
        <v>3.5855999999999999</v>
      </c>
      <c r="G568" s="7">
        <v>4.4000000000004036E-3</v>
      </c>
      <c r="H568" s="7">
        <f>Ventas[[#This Row],[SUBTOTAL]]+Ventas[[#This Row],[IVA]]+Ventas[[#This Row],[DESCUENTO/EXTRA]]</f>
        <v>26</v>
      </c>
      <c r="I568" t="s">
        <v>18</v>
      </c>
      <c r="J568" t="s">
        <v>24</v>
      </c>
      <c r="K568" t="s">
        <v>15</v>
      </c>
      <c r="L568" t="s">
        <v>16</v>
      </c>
    </row>
    <row r="569" spans="1:12">
      <c r="A569" s="3">
        <v>45476</v>
      </c>
      <c r="B569" t="s">
        <v>26</v>
      </c>
      <c r="C569" s="5">
        <v>10</v>
      </c>
      <c r="D569" s="7">
        <v>40.479999999999997</v>
      </c>
      <c r="E569" s="7">
        <f>Ventas[[#This Row],[CANTIDAD]]*Ventas[[#This Row],[PRECIO_UNIT]]</f>
        <v>404.79999999999995</v>
      </c>
      <c r="F569" s="7">
        <f>Ventas[[#This Row],[SUBTOTAL]]*0.16</f>
        <v>64.768000000000001</v>
      </c>
      <c r="G569" s="7">
        <v>-5.7999999999992724E-2</v>
      </c>
      <c r="H569" s="7">
        <f>Ventas[[#This Row],[SUBTOTAL]]+Ventas[[#This Row],[IVA]]+Ventas[[#This Row],[DESCUENTO/EXTRA]]</f>
        <v>469.51</v>
      </c>
      <c r="I569" t="s">
        <v>23</v>
      </c>
      <c r="J569" t="s">
        <v>33</v>
      </c>
      <c r="K569" t="s">
        <v>25</v>
      </c>
      <c r="L569" t="s">
        <v>16</v>
      </c>
    </row>
    <row r="570" spans="1:12">
      <c r="A570" s="3">
        <v>45478</v>
      </c>
      <c r="B570" t="s">
        <v>43</v>
      </c>
      <c r="C570" s="5">
        <v>27</v>
      </c>
      <c r="D570" s="7">
        <v>28.85</v>
      </c>
      <c r="E570" s="7">
        <f>Ventas[[#This Row],[CANTIDAD]]*Ventas[[#This Row],[PRECIO_UNIT]]</f>
        <v>778.95</v>
      </c>
      <c r="F570" s="7">
        <f>Ventas[[#This Row],[SUBTOTAL]]*0.16</f>
        <v>124.63200000000001</v>
      </c>
      <c r="G570" s="7">
        <v>0.41799999999989268</v>
      </c>
      <c r="H570" s="7">
        <f>Ventas[[#This Row],[SUBTOTAL]]+Ventas[[#This Row],[IVA]]+Ventas[[#This Row],[DESCUENTO/EXTRA]]</f>
        <v>904</v>
      </c>
      <c r="I570" t="s">
        <v>23</v>
      </c>
      <c r="J570" t="s">
        <v>14</v>
      </c>
      <c r="K570" t="s">
        <v>15</v>
      </c>
      <c r="L570" t="s">
        <v>16</v>
      </c>
    </row>
    <row r="571" spans="1:12">
      <c r="A571" s="3">
        <v>45478</v>
      </c>
      <c r="B571" t="s">
        <v>46</v>
      </c>
      <c r="C571" s="5">
        <v>29</v>
      </c>
      <c r="D571" s="7">
        <v>29.14</v>
      </c>
      <c r="E571" s="7">
        <f>Ventas[[#This Row],[CANTIDAD]]*Ventas[[#This Row],[PRECIO_UNIT]]</f>
        <v>845.06000000000006</v>
      </c>
      <c r="F571" s="7">
        <f>Ventas[[#This Row],[SUBTOTAL]]*0.16</f>
        <v>135.20960000000002</v>
      </c>
      <c r="G571" s="7">
        <v>0.11039999999991323</v>
      </c>
      <c r="H571" s="7">
        <f>Ventas[[#This Row],[SUBTOTAL]]+Ventas[[#This Row],[IVA]]+Ventas[[#This Row],[DESCUENTO/EXTRA]]</f>
        <v>980.38</v>
      </c>
      <c r="I571" t="s">
        <v>32</v>
      </c>
      <c r="J571" t="s">
        <v>33</v>
      </c>
      <c r="K571" t="s">
        <v>25</v>
      </c>
      <c r="L571" t="s">
        <v>16</v>
      </c>
    </row>
    <row r="572" spans="1:12">
      <c r="A572" s="3">
        <v>45478</v>
      </c>
      <c r="B572" t="s">
        <v>28</v>
      </c>
      <c r="C572" s="5">
        <v>17</v>
      </c>
      <c r="D572" s="7">
        <v>82.56</v>
      </c>
      <c r="E572" s="7">
        <f>Ventas[[#This Row],[CANTIDAD]]*Ventas[[#This Row],[PRECIO_UNIT]]</f>
        <v>1403.52</v>
      </c>
      <c r="F572" s="7">
        <f>Ventas[[#This Row],[SUBTOTAL]]*0.16</f>
        <v>224.56319999999999</v>
      </c>
      <c r="G572" s="7">
        <v>-8.3200000000033469E-2</v>
      </c>
      <c r="H572" s="7">
        <f>Ventas[[#This Row],[SUBTOTAL]]+Ventas[[#This Row],[IVA]]+Ventas[[#This Row],[DESCUENTO/EXTRA]]</f>
        <v>1628</v>
      </c>
      <c r="I572" t="s">
        <v>23</v>
      </c>
      <c r="J572" t="s">
        <v>52</v>
      </c>
      <c r="K572" t="s">
        <v>25</v>
      </c>
      <c r="L572" t="s">
        <v>16</v>
      </c>
    </row>
    <row r="573" spans="1:12">
      <c r="A573" s="3">
        <v>45479</v>
      </c>
      <c r="B573" t="s">
        <v>43</v>
      </c>
      <c r="C573" s="5">
        <v>23</v>
      </c>
      <c r="D573" s="7">
        <v>28</v>
      </c>
      <c r="E573" s="7">
        <f>Ventas[[#This Row],[CANTIDAD]]*Ventas[[#This Row],[PRECIO_UNIT]]</f>
        <v>644</v>
      </c>
      <c r="F573" s="7">
        <f>Ventas[[#This Row],[SUBTOTAL]]*0.16</f>
        <v>103.04</v>
      </c>
      <c r="G573" s="7">
        <v>-12.039999999999964</v>
      </c>
      <c r="H573" s="7">
        <f>Ventas[[#This Row],[SUBTOTAL]]+Ventas[[#This Row],[IVA]]+Ventas[[#This Row],[DESCUENTO/EXTRA]]</f>
        <v>735</v>
      </c>
      <c r="I573" t="s">
        <v>13</v>
      </c>
      <c r="J573" t="s">
        <v>48</v>
      </c>
      <c r="K573" t="s">
        <v>15</v>
      </c>
      <c r="L573" t="s">
        <v>16</v>
      </c>
    </row>
    <row r="574" spans="1:12">
      <c r="A574" s="3">
        <v>45479</v>
      </c>
      <c r="B574" t="s">
        <v>43</v>
      </c>
      <c r="C574" s="5">
        <v>14</v>
      </c>
      <c r="D574" s="7">
        <v>30.5</v>
      </c>
      <c r="E574" s="7">
        <f>Ventas[[#This Row],[CANTIDAD]]*Ventas[[#This Row],[PRECIO_UNIT]]</f>
        <v>427</v>
      </c>
      <c r="F574" s="7">
        <f>Ventas[[#This Row],[SUBTOTAL]]*0.16</f>
        <v>68.320000000000007</v>
      </c>
      <c r="G574" s="7">
        <v>7.9999999999984084E-2</v>
      </c>
      <c r="H574" s="7">
        <f>Ventas[[#This Row],[SUBTOTAL]]+Ventas[[#This Row],[IVA]]+Ventas[[#This Row],[DESCUENTO/EXTRA]]</f>
        <v>495.4</v>
      </c>
      <c r="I574" t="s">
        <v>18</v>
      </c>
      <c r="J574" t="s">
        <v>24</v>
      </c>
      <c r="K574" t="s">
        <v>25</v>
      </c>
      <c r="L574" t="s">
        <v>16</v>
      </c>
    </row>
    <row r="575" spans="1:12">
      <c r="A575" s="3">
        <v>45480</v>
      </c>
      <c r="B575" t="s">
        <v>26</v>
      </c>
      <c r="C575" s="5">
        <v>27</v>
      </c>
      <c r="D575" s="7">
        <v>42.19</v>
      </c>
      <c r="E575" s="7">
        <f>Ventas[[#This Row],[CANTIDAD]]*Ventas[[#This Row],[PRECIO_UNIT]]</f>
        <v>1139.1299999999999</v>
      </c>
      <c r="F575" s="7">
        <f>Ventas[[#This Row],[SUBTOTAL]]*0.16</f>
        <v>182.26079999999999</v>
      </c>
      <c r="G575" s="7">
        <v>0.14920000000006439</v>
      </c>
      <c r="H575" s="7">
        <f>Ventas[[#This Row],[SUBTOTAL]]+Ventas[[#This Row],[IVA]]+Ventas[[#This Row],[DESCUENTO/EXTRA]]</f>
        <v>1321.54</v>
      </c>
      <c r="I575" t="s">
        <v>18</v>
      </c>
      <c r="J575" t="s">
        <v>56</v>
      </c>
      <c r="K575" t="s">
        <v>15</v>
      </c>
      <c r="L575" t="s">
        <v>16</v>
      </c>
    </row>
    <row r="576" spans="1:12">
      <c r="A576" s="3">
        <v>45480</v>
      </c>
      <c r="B576" t="s">
        <v>37</v>
      </c>
      <c r="C576" s="5">
        <v>2</v>
      </c>
      <c r="D576" s="7">
        <v>23.12</v>
      </c>
      <c r="E576" s="7">
        <f>Ventas[[#This Row],[CANTIDAD]]*Ventas[[#This Row],[PRECIO_UNIT]]</f>
        <v>46.24</v>
      </c>
      <c r="F576" s="7">
        <f>Ventas[[#This Row],[SUBTOTAL]]*0.16</f>
        <v>7.3984000000000005</v>
      </c>
      <c r="G576" s="7">
        <v>-0.6384000000000043</v>
      </c>
      <c r="H576" s="7">
        <f>Ventas[[#This Row],[SUBTOTAL]]+Ventas[[#This Row],[IVA]]+Ventas[[#This Row],[DESCUENTO/EXTRA]]</f>
        <v>53</v>
      </c>
      <c r="I576" t="s">
        <v>23</v>
      </c>
      <c r="J576" t="s">
        <v>19</v>
      </c>
      <c r="K576" t="s">
        <v>15</v>
      </c>
      <c r="L576" t="s">
        <v>16</v>
      </c>
    </row>
    <row r="577" spans="1:12">
      <c r="A577" s="3">
        <v>45481</v>
      </c>
      <c r="B577" t="s">
        <v>37</v>
      </c>
      <c r="C577" s="5">
        <v>24</v>
      </c>
      <c r="D577" s="7">
        <v>21.62</v>
      </c>
      <c r="E577" s="7">
        <f>Ventas[[#This Row],[CANTIDAD]]*Ventas[[#This Row],[PRECIO_UNIT]]</f>
        <v>518.88</v>
      </c>
      <c r="F577" s="7">
        <f>Ventas[[#This Row],[SUBTOTAL]]*0.16</f>
        <v>83.020799999999994</v>
      </c>
      <c r="G577" s="7">
        <v>0.11919999999997799</v>
      </c>
      <c r="H577" s="7">
        <f>Ventas[[#This Row],[SUBTOTAL]]+Ventas[[#This Row],[IVA]]+Ventas[[#This Row],[DESCUENTO/EXTRA]]</f>
        <v>602.02</v>
      </c>
      <c r="I577" t="s">
        <v>23</v>
      </c>
      <c r="J577" t="s">
        <v>55</v>
      </c>
      <c r="K577" t="s">
        <v>15</v>
      </c>
      <c r="L577" t="s">
        <v>16</v>
      </c>
    </row>
    <row r="578" spans="1:12">
      <c r="A578" s="3">
        <v>45481</v>
      </c>
      <c r="B578" t="s">
        <v>46</v>
      </c>
      <c r="C578" s="5">
        <v>5</v>
      </c>
      <c r="D578" s="7">
        <v>26.32</v>
      </c>
      <c r="E578" s="7">
        <f>Ventas[[#This Row],[CANTIDAD]]*Ventas[[#This Row],[PRECIO_UNIT]]</f>
        <v>131.6</v>
      </c>
      <c r="F578" s="7">
        <f>Ventas[[#This Row],[SUBTOTAL]]*0.16</f>
        <v>21.056000000000001</v>
      </c>
      <c r="G578" s="7">
        <v>-6.0000000000002274E-3</v>
      </c>
      <c r="H578" s="7">
        <f>Ventas[[#This Row],[SUBTOTAL]]+Ventas[[#This Row],[IVA]]+Ventas[[#This Row],[DESCUENTO/EXTRA]]</f>
        <v>152.65</v>
      </c>
      <c r="I578" t="s">
        <v>23</v>
      </c>
      <c r="J578" t="s">
        <v>14</v>
      </c>
      <c r="K578" t="s">
        <v>25</v>
      </c>
      <c r="L578" t="s">
        <v>16</v>
      </c>
    </row>
    <row r="579" spans="1:12">
      <c r="A579" s="3">
        <v>45481</v>
      </c>
      <c r="B579" t="s">
        <v>20</v>
      </c>
      <c r="C579" s="5">
        <v>18</v>
      </c>
      <c r="D579" s="7">
        <v>12</v>
      </c>
      <c r="E579" s="7">
        <f>Ventas[[#This Row],[CANTIDAD]]*Ventas[[#This Row],[PRECIO_UNIT]]</f>
        <v>216</v>
      </c>
      <c r="F579" s="7">
        <f>Ventas[[#This Row],[SUBTOTAL]]*0.16</f>
        <v>34.56</v>
      </c>
      <c r="G579" s="7">
        <v>9.4399999999999977</v>
      </c>
      <c r="H579" s="7">
        <f>Ventas[[#This Row],[SUBTOTAL]]+Ventas[[#This Row],[IVA]]+Ventas[[#This Row],[DESCUENTO/EXTRA]]</f>
        <v>260</v>
      </c>
      <c r="I579" t="s">
        <v>41</v>
      </c>
      <c r="J579" t="s">
        <v>30</v>
      </c>
      <c r="K579" t="s">
        <v>15</v>
      </c>
      <c r="L579" t="s">
        <v>16</v>
      </c>
    </row>
    <row r="580" spans="1:12">
      <c r="A580" s="3">
        <v>45481</v>
      </c>
      <c r="B580" t="s">
        <v>35</v>
      </c>
      <c r="C580" s="5">
        <v>12</v>
      </c>
      <c r="D580" s="7">
        <v>27</v>
      </c>
      <c r="E580" s="7">
        <f>Ventas[[#This Row],[CANTIDAD]]*Ventas[[#This Row],[PRECIO_UNIT]]</f>
        <v>324</v>
      </c>
      <c r="F580" s="7">
        <f>Ventas[[#This Row],[SUBTOTAL]]*0.16</f>
        <v>51.84</v>
      </c>
      <c r="G580" s="7">
        <v>-5.9000000000000341</v>
      </c>
      <c r="H580" s="7">
        <f>Ventas[[#This Row],[SUBTOTAL]]+Ventas[[#This Row],[IVA]]+Ventas[[#This Row],[DESCUENTO/EXTRA]]</f>
        <v>369.94</v>
      </c>
      <c r="I580" t="s">
        <v>18</v>
      </c>
      <c r="J580" t="s">
        <v>55</v>
      </c>
      <c r="K580" t="s">
        <v>25</v>
      </c>
      <c r="L580" t="s">
        <v>16</v>
      </c>
    </row>
    <row r="581" spans="1:12">
      <c r="A581" s="3">
        <v>45482</v>
      </c>
      <c r="B581" t="s">
        <v>45</v>
      </c>
      <c r="C581" s="5">
        <v>20</v>
      </c>
      <c r="D581" s="7">
        <v>43.68</v>
      </c>
      <c r="E581" s="7">
        <f>Ventas[[#This Row],[CANTIDAD]]*Ventas[[#This Row],[PRECIO_UNIT]]</f>
        <v>873.6</v>
      </c>
      <c r="F581" s="7">
        <f>Ventas[[#This Row],[SUBTOTAL]]*0.16</f>
        <v>139.77600000000001</v>
      </c>
      <c r="G581" s="7">
        <v>-5.5999999999926331E-2</v>
      </c>
      <c r="H581" s="7">
        <f>Ventas[[#This Row],[SUBTOTAL]]+Ventas[[#This Row],[IVA]]+Ventas[[#This Row],[DESCUENTO/EXTRA]]</f>
        <v>1013.32</v>
      </c>
      <c r="I581" t="s">
        <v>18</v>
      </c>
      <c r="J581" t="s">
        <v>51</v>
      </c>
      <c r="K581" t="s">
        <v>15</v>
      </c>
      <c r="L581" t="s">
        <v>16</v>
      </c>
    </row>
    <row r="582" spans="1:12">
      <c r="A582" s="3">
        <v>45485</v>
      </c>
      <c r="B582" t="s">
        <v>40</v>
      </c>
      <c r="C582" s="5">
        <v>5</v>
      </c>
      <c r="D582" s="7">
        <v>35.64</v>
      </c>
      <c r="E582" s="7">
        <f>Ventas[[#This Row],[CANTIDAD]]*Ventas[[#This Row],[PRECIO_UNIT]]</f>
        <v>178.2</v>
      </c>
      <c r="F582" s="7">
        <f>Ventas[[#This Row],[SUBTOTAL]]*0.16</f>
        <v>28.512</v>
      </c>
      <c r="G582" s="7">
        <v>0.28800000000001091</v>
      </c>
      <c r="H582" s="7">
        <f>Ventas[[#This Row],[SUBTOTAL]]+Ventas[[#This Row],[IVA]]+Ventas[[#This Row],[DESCUENTO/EXTRA]]</f>
        <v>207</v>
      </c>
      <c r="I582" t="s">
        <v>23</v>
      </c>
      <c r="J582" t="s">
        <v>14</v>
      </c>
      <c r="K582" t="s">
        <v>25</v>
      </c>
      <c r="L582" t="s">
        <v>16</v>
      </c>
    </row>
    <row r="583" spans="1:12">
      <c r="A583" s="3">
        <v>45486</v>
      </c>
      <c r="B583" t="s">
        <v>20</v>
      </c>
      <c r="C583" s="5">
        <v>13</v>
      </c>
      <c r="D583" s="7">
        <v>11.77</v>
      </c>
      <c r="E583" s="7">
        <f>Ventas[[#This Row],[CANTIDAD]]*Ventas[[#This Row],[PRECIO_UNIT]]</f>
        <v>153.01</v>
      </c>
      <c r="F583" s="7">
        <f>Ventas[[#This Row],[SUBTOTAL]]*0.16</f>
        <v>24.4816</v>
      </c>
      <c r="G583" s="7">
        <v>-5.160000000000764E-2</v>
      </c>
      <c r="H583" s="7">
        <f>Ventas[[#This Row],[SUBTOTAL]]+Ventas[[#This Row],[IVA]]+Ventas[[#This Row],[DESCUENTO/EXTRA]]</f>
        <v>177.44</v>
      </c>
      <c r="I583" t="s">
        <v>18</v>
      </c>
      <c r="J583" t="s">
        <v>39</v>
      </c>
      <c r="K583" t="s">
        <v>15</v>
      </c>
      <c r="L583" t="s">
        <v>16</v>
      </c>
    </row>
    <row r="584" spans="1:12">
      <c r="A584" s="3">
        <v>45486</v>
      </c>
      <c r="B584" t="s">
        <v>22</v>
      </c>
      <c r="C584" s="5">
        <v>19</v>
      </c>
      <c r="D584" s="7">
        <v>21.92</v>
      </c>
      <c r="E584" s="7">
        <f>Ventas[[#This Row],[CANTIDAD]]*Ventas[[#This Row],[PRECIO_UNIT]]</f>
        <v>416.48</v>
      </c>
      <c r="F584" s="7">
        <f>Ventas[[#This Row],[SUBTOTAL]]*0.16</f>
        <v>66.636800000000008</v>
      </c>
      <c r="G584" s="7">
        <v>-1.6799999999989268E-2</v>
      </c>
      <c r="H584" s="7">
        <f>Ventas[[#This Row],[SUBTOTAL]]+Ventas[[#This Row],[IVA]]+Ventas[[#This Row],[DESCUENTO/EXTRA]]</f>
        <v>483.1</v>
      </c>
      <c r="I584" t="s">
        <v>23</v>
      </c>
      <c r="J584" t="s">
        <v>27</v>
      </c>
      <c r="K584" t="s">
        <v>25</v>
      </c>
      <c r="L584" t="s">
        <v>16</v>
      </c>
    </row>
    <row r="585" spans="1:12">
      <c r="A585" s="3">
        <v>45488</v>
      </c>
      <c r="B585" t="s">
        <v>46</v>
      </c>
      <c r="C585" s="5">
        <v>27</v>
      </c>
      <c r="D585" s="7">
        <v>28.07</v>
      </c>
      <c r="E585" s="7">
        <f>Ventas[[#This Row],[CANTIDAD]]*Ventas[[#This Row],[PRECIO_UNIT]]</f>
        <v>757.89</v>
      </c>
      <c r="F585" s="7">
        <f>Ventas[[#This Row],[SUBTOTAL]]*0.16</f>
        <v>121.2624</v>
      </c>
      <c r="G585" s="7">
        <v>-0.15239999999994325</v>
      </c>
      <c r="H585" s="7">
        <f>Ventas[[#This Row],[SUBTOTAL]]+Ventas[[#This Row],[IVA]]+Ventas[[#This Row],[DESCUENTO/EXTRA]]</f>
        <v>879</v>
      </c>
      <c r="I585" t="s">
        <v>32</v>
      </c>
      <c r="J585" t="s">
        <v>31</v>
      </c>
      <c r="K585" t="s">
        <v>15</v>
      </c>
      <c r="L585" t="s">
        <v>16</v>
      </c>
    </row>
    <row r="586" spans="1:12">
      <c r="A586" s="3">
        <v>45488</v>
      </c>
      <c r="B586" t="s">
        <v>40</v>
      </c>
      <c r="C586" s="5">
        <v>24</v>
      </c>
      <c r="D586" s="7">
        <v>34</v>
      </c>
      <c r="E586" s="7">
        <f>Ventas[[#This Row],[CANTIDAD]]*Ventas[[#This Row],[PRECIO_UNIT]]</f>
        <v>816</v>
      </c>
      <c r="F586" s="7">
        <f>Ventas[[#This Row],[SUBTOTAL]]*0.16</f>
        <v>130.56</v>
      </c>
      <c r="G586" s="7">
        <v>7.1600000000000819</v>
      </c>
      <c r="H586" s="7">
        <f>Ventas[[#This Row],[SUBTOTAL]]+Ventas[[#This Row],[IVA]]+Ventas[[#This Row],[DESCUENTO/EXTRA]]</f>
        <v>953.72</v>
      </c>
      <c r="I586" t="s">
        <v>18</v>
      </c>
      <c r="J586" t="s">
        <v>55</v>
      </c>
      <c r="K586" t="s">
        <v>25</v>
      </c>
      <c r="L586" t="s">
        <v>16</v>
      </c>
    </row>
    <row r="587" spans="1:12">
      <c r="A587" s="3">
        <v>45489</v>
      </c>
      <c r="B587" t="s">
        <v>28</v>
      </c>
      <c r="C587" s="5">
        <v>9</v>
      </c>
      <c r="D587" s="7">
        <v>75.260000000000005</v>
      </c>
      <c r="E587" s="7">
        <f>Ventas[[#This Row],[CANTIDAD]]*Ventas[[#This Row],[PRECIO_UNIT]]</f>
        <v>677.34</v>
      </c>
      <c r="F587" s="7">
        <f>Ventas[[#This Row],[SUBTOTAL]]*0.16</f>
        <v>108.37440000000001</v>
      </c>
      <c r="G587" s="7">
        <v>-1.4400000000023283E-2</v>
      </c>
      <c r="H587" s="7">
        <f>Ventas[[#This Row],[SUBTOTAL]]+Ventas[[#This Row],[IVA]]+Ventas[[#This Row],[DESCUENTO/EXTRA]]</f>
        <v>785.7</v>
      </c>
      <c r="I587" t="s">
        <v>18</v>
      </c>
      <c r="J587" t="s">
        <v>19</v>
      </c>
      <c r="K587" t="s">
        <v>15</v>
      </c>
      <c r="L587" t="s">
        <v>16</v>
      </c>
    </row>
    <row r="588" spans="1:12">
      <c r="A588" s="3">
        <v>45491</v>
      </c>
      <c r="B588" t="s">
        <v>43</v>
      </c>
      <c r="C588" s="5">
        <v>6</v>
      </c>
      <c r="D588" s="7">
        <v>28.95</v>
      </c>
      <c r="E588" s="7">
        <f>Ventas[[#This Row],[CANTIDAD]]*Ventas[[#This Row],[PRECIO_UNIT]]</f>
        <v>173.7</v>
      </c>
      <c r="F588" s="7">
        <f>Ventas[[#This Row],[SUBTOTAL]]*0.16</f>
        <v>27.791999999999998</v>
      </c>
      <c r="G588" s="7">
        <v>1.8000000000000682E-2</v>
      </c>
      <c r="H588" s="7">
        <f>Ventas[[#This Row],[SUBTOTAL]]+Ventas[[#This Row],[IVA]]+Ventas[[#This Row],[DESCUENTO/EXTRA]]</f>
        <v>201.51</v>
      </c>
      <c r="I588" t="s">
        <v>18</v>
      </c>
      <c r="J588" t="s">
        <v>44</v>
      </c>
      <c r="K588" t="s">
        <v>15</v>
      </c>
      <c r="L588" t="s">
        <v>16</v>
      </c>
    </row>
    <row r="589" spans="1:12">
      <c r="A589" s="3">
        <v>45491</v>
      </c>
      <c r="B589" t="s">
        <v>28</v>
      </c>
      <c r="C589" s="5">
        <v>29</v>
      </c>
      <c r="D589" s="7">
        <v>82.27</v>
      </c>
      <c r="E589" s="7">
        <f>Ventas[[#This Row],[CANTIDAD]]*Ventas[[#This Row],[PRECIO_UNIT]]</f>
        <v>2385.83</v>
      </c>
      <c r="F589" s="7">
        <f>Ventas[[#This Row],[SUBTOTAL]]*0.16</f>
        <v>381.7328</v>
      </c>
      <c r="G589" s="7">
        <v>-0.14279999999962456</v>
      </c>
      <c r="H589" s="7">
        <f>Ventas[[#This Row],[SUBTOTAL]]+Ventas[[#This Row],[IVA]]+Ventas[[#This Row],[DESCUENTO/EXTRA]]</f>
        <v>2767.42</v>
      </c>
      <c r="I589" t="s">
        <v>18</v>
      </c>
      <c r="J589" t="s">
        <v>52</v>
      </c>
      <c r="K589" t="s">
        <v>15</v>
      </c>
      <c r="L589" t="s">
        <v>16</v>
      </c>
    </row>
    <row r="590" spans="1:12">
      <c r="A590" s="3">
        <v>45492</v>
      </c>
      <c r="B590" t="s">
        <v>17</v>
      </c>
      <c r="C590" s="5">
        <v>21</v>
      </c>
      <c r="D590" s="7">
        <v>37</v>
      </c>
      <c r="E590" s="7">
        <f>Ventas[[#This Row],[CANTIDAD]]*Ventas[[#This Row],[PRECIO_UNIT]]</f>
        <v>777</v>
      </c>
      <c r="F590" s="7">
        <f>Ventas[[#This Row],[SUBTOTAL]]*0.16</f>
        <v>124.32000000000001</v>
      </c>
      <c r="G590" s="7">
        <v>-6.3900000000001</v>
      </c>
      <c r="H590" s="7">
        <f>Ventas[[#This Row],[SUBTOTAL]]+Ventas[[#This Row],[IVA]]+Ventas[[#This Row],[DESCUENTO/EXTRA]]</f>
        <v>894.93</v>
      </c>
      <c r="I590" t="s">
        <v>32</v>
      </c>
      <c r="J590" t="s">
        <v>38</v>
      </c>
      <c r="K590" t="s">
        <v>25</v>
      </c>
      <c r="L590" t="s">
        <v>16</v>
      </c>
    </row>
    <row r="591" spans="1:12">
      <c r="A591" s="3">
        <v>45493</v>
      </c>
      <c r="B591" t="s">
        <v>26</v>
      </c>
      <c r="C591" s="5">
        <v>15</v>
      </c>
      <c r="D591" s="7">
        <v>40.94</v>
      </c>
      <c r="E591" s="7">
        <f>Ventas[[#This Row],[CANTIDAD]]*Ventas[[#This Row],[PRECIO_UNIT]]</f>
        <v>614.09999999999991</v>
      </c>
      <c r="F591" s="7">
        <f>Ventas[[#This Row],[SUBTOTAL]]*0.16</f>
        <v>98.255999999999986</v>
      </c>
      <c r="G591" s="7">
        <v>-2.5999999999839929E-2</v>
      </c>
      <c r="H591" s="7">
        <f>Ventas[[#This Row],[SUBTOTAL]]+Ventas[[#This Row],[IVA]]+Ventas[[#This Row],[DESCUENTO/EXTRA]]</f>
        <v>712.33</v>
      </c>
      <c r="I591" t="s">
        <v>18</v>
      </c>
      <c r="J591" t="s">
        <v>27</v>
      </c>
      <c r="K591" t="s">
        <v>15</v>
      </c>
      <c r="L591" t="s">
        <v>16</v>
      </c>
    </row>
    <row r="592" spans="1:12">
      <c r="A592" s="3">
        <v>45495</v>
      </c>
      <c r="B592" t="s">
        <v>22</v>
      </c>
      <c r="C592" s="5">
        <v>19</v>
      </c>
      <c r="D592" s="7">
        <v>20.11</v>
      </c>
      <c r="E592" s="7">
        <f>Ventas[[#This Row],[CANTIDAD]]*Ventas[[#This Row],[PRECIO_UNIT]]</f>
        <v>382.09</v>
      </c>
      <c r="F592" s="7">
        <f>Ventas[[#This Row],[SUBTOTAL]]*0.16</f>
        <v>61.134399999999999</v>
      </c>
      <c r="G592" s="7">
        <v>3.5600000000044929E-2</v>
      </c>
      <c r="H592" s="7">
        <f>Ventas[[#This Row],[SUBTOTAL]]+Ventas[[#This Row],[IVA]]+Ventas[[#This Row],[DESCUENTO/EXTRA]]</f>
        <v>443.26</v>
      </c>
      <c r="I592" t="s">
        <v>18</v>
      </c>
      <c r="J592" t="s">
        <v>24</v>
      </c>
      <c r="K592" t="s">
        <v>25</v>
      </c>
      <c r="L592" t="s">
        <v>16</v>
      </c>
    </row>
    <row r="593" spans="1:12">
      <c r="A593" s="3">
        <v>45496</v>
      </c>
      <c r="B593" t="s">
        <v>28</v>
      </c>
      <c r="C593" s="5">
        <v>18</v>
      </c>
      <c r="D593" s="7">
        <v>75</v>
      </c>
      <c r="E593" s="7">
        <f>Ventas[[#This Row],[CANTIDAD]]*Ventas[[#This Row],[PRECIO_UNIT]]</f>
        <v>1350</v>
      </c>
      <c r="F593" s="7">
        <f>Ventas[[#This Row],[SUBTOTAL]]*0.16</f>
        <v>216</v>
      </c>
      <c r="G593" s="7">
        <v>-9.8900000000001</v>
      </c>
      <c r="H593" s="7">
        <f>Ventas[[#This Row],[SUBTOTAL]]+Ventas[[#This Row],[IVA]]+Ventas[[#This Row],[DESCUENTO/EXTRA]]</f>
        <v>1556.11</v>
      </c>
      <c r="I593" t="s">
        <v>23</v>
      </c>
      <c r="J593" t="s">
        <v>52</v>
      </c>
      <c r="K593" t="s">
        <v>15</v>
      </c>
      <c r="L593" t="s">
        <v>16</v>
      </c>
    </row>
    <row r="594" spans="1:12">
      <c r="A594" s="3">
        <v>45496</v>
      </c>
      <c r="B594" t="s">
        <v>46</v>
      </c>
      <c r="C594" s="5">
        <v>11</v>
      </c>
      <c r="D594" s="7">
        <v>26</v>
      </c>
      <c r="E594" s="7">
        <f>Ventas[[#This Row],[CANTIDAD]]*Ventas[[#This Row],[PRECIO_UNIT]]</f>
        <v>286</v>
      </c>
      <c r="F594" s="7">
        <f>Ventas[[#This Row],[SUBTOTAL]]*0.16</f>
        <v>45.76</v>
      </c>
      <c r="G594" s="7">
        <v>-4.7599999999999909</v>
      </c>
      <c r="H594" s="7">
        <f>Ventas[[#This Row],[SUBTOTAL]]+Ventas[[#This Row],[IVA]]+Ventas[[#This Row],[DESCUENTO/EXTRA]]</f>
        <v>327</v>
      </c>
      <c r="I594" t="s">
        <v>41</v>
      </c>
      <c r="J594" t="s">
        <v>44</v>
      </c>
      <c r="K594" t="s">
        <v>25</v>
      </c>
      <c r="L594" t="s">
        <v>16</v>
      </c>
    </row>
    <row r="595" spans="1:12">
      <c r="A595" s="3">
        <v>45496</v>
      </c>
      <c r="B595" t="s">
        <v>37</v>
      </c>
      <c r="C595" s="5">
        <v>12</v>
      </c>
      <c r="D595" s="7">
        <v>25</v>
      </c>
      <c r="E595" s="7">
        <f>Ventas[[#This Row],[CANTIDAD]]*Ventas[[#This Row],[PRECIO_UNIT]]</f>
        <v>300</v>
      </c>
      <c r="F595" s="7">
        <f>Ventas[[#This Row],[SUBTOTAL]]*0.16</f>
        <v>48</v>
      </c>
      <c r="G595" s="7">
        <v>-6.8199999999999932</v>
      </c>
      <c r="H595" s="7">
        <f>Ventas[[#This Row],[SUBTOTAL]]+Ventas[[#This Row],[IVA]]+Ventas[[#This Row],[DESCUENTO/EXTRA]]</f>
        <v>341.18</v>
      </c>
      <c r="I595" t="s">
        <v>18</v>
      </c>
      <c r="J595" t="s">
        <v>53</v>
      </c>
      <c r="K595" t="s">
        <v>15</v>
      </c>
      <c r="L595" t="s">
        <v>16</v>
      </c>
    </row>
    <row r="596" spans="1:12">
      <c r="A596" s="3">
        <v>45496</v>
      </c>
      <c r="B596" t="s">
        <v>12</v>
      </c>
      <c r="C596" s="5">
        <v>27</v>
      </c>
      <c r="D596" s="7">
        <v>54.92</v>
      </c>
      <c r="E596" s="7">
        <f>Ventas[[#This Row],[CANTIDAD]]*Ventas[[#This Row],[PRECIO_UNIT]]</f>
        <v>1482.8400000000001</v>
      </c>
      <c r="F596" s="7">
        <f>Ventas[[#This Row],[SUBTOTAL]]*0.16</f>
        <v>237.25440000000003</v>
      </c>
      <c r="G596" s="7">
        <v>6.5599999999903957E-2</v>
      </c>
      <c r="H596" s="7">
        <f>Ventas[[#This Row],[SUBTOTAL]]+Ventas[[#This Row],[IVA]]+Ventas[[#This Row],[DESCUENTO/EXTRA]]</f>
        <v>1720.16</v>
      </c>
      <c r="I596" t="s">
        <v>32</v>
      </c>
      <c r="J596" t="s">
        <v>21</v>
      </c>
      <c r="K596" t="s">
        <v>15</v>
      </c>
      <c r="L596" t="s">
        <v>16</v>
      </c>
    </row>
    <row r="597" spans="1:12">
      <c r="A597" s="3">
        <v>45497</v>
      </c>
      <c r="B597" t="s">
        <v>40</v>
      </c>
      <c r="C597" s="5">
        <v>5</v>
      </c>
      <c r="D597" s="7">
        <v>32</v>
      </c>
      <c r="E597" s="7">
        <f>Ventas[[#This Row],[CANTIDAD]]*Ventas[[#This Row],[PRECIO_UNIT]]</f>
        <v>160</v>
      </c>
      <c r="F597" s="7">
        <f>Ventas[[#This Row],[SUBTOTAL]]*0.16</f>
        <v>25.6</v>
      </c>
      <c r="G597" s="7">
        <v>1.4000000000000057</v>
      </c>
      <c r="H597" s="7">
        <f>Ventas[[#This Row],[SUBTOTAL]]+Ventas[[#This Row],[IVA]]+Ventas[[#This Row],[DESCUENTO/EXTRA]]</f>
        <v>187</v>
      </c>
      <c r="I597" t="s">
        <v>13</v>
      </c>
      <c r="J597" t="s">
        <v>34</v>
      </c>
      <c r="K597" t="s">
        <v>15</v>
      </c>
      <c r="L597" t="s">
        <v>16</v>
      </c>
    </row>
    <row r="598" spans="1:12">
      <c r="A598" s="3">
        <v>45498</v>
      </c>
      <c r="B598" t="s">
        <v>12</v>
      </c>
      <c r="C598" s="5">
        <v>20</v>
      </c>
      <c r="D598" s="7">
        <v>58.47</v>
      </c>
      <c r="E598" s="7">
        <f>Ventas[[#This Row],[CANTIDAD]]*Ventas[[#This Row],[PRECIO_UNIT]]</f>
        <v>1169.4000000000001</v>
      </c>
      <c r="F598" s="7">
        <f>Ventas[[#This Row],[SUBTOTAL]]*0.16</f>
        <v>187.10400000000001</v>
      </c>
      <c r="G598" s="7">
        <v>6.5999999999803549E-2</v>
      </c>
      <c r="H598" s="7">
        <f>Ventas[[#This Row],[SUBTOTAL]]+Ventas[[#This Row],[IVA]]+Ventas[[#This Row],[DESCUENTO/EXTRA]]</f>
        <v>1356.57</v>
      </c>
      <c r="I598" t="s">
        <v>18</v>
      </c>
      <c r="J598" t="s">
        <v>30</v>
      </c>
      <c r="K598" t="s">
        <v>25</v>
      </c>
      <c r="L598" t="s">
        <v>16</v>
      </c>
    </row>
    <row r="599" spans="1:12">
      <c r="A599" s="3">
        <v>45498</v>
      </c>
      <c r="B599" t="s">
        <v>26</v>
      </c>
      <c r="C599" s="5">
        <v>6</v>
      </c>
      <c r="D599" s="7">
        <v>43.99</v>
      </c>
      <c r="E599" s="7">
        <f>Ventas[[#This Row],[CANTIDAD]]*Ventas[[#This Row],[PRECIO_UNIT]]</f>
        <v>263.94</v>
      </c>
      <c r="F599" s="7">
        <f>Ventas[[#This Row],[SUBTOTAL]]*0.16</f>
        <v>42.230400000000003</v>
      </c>
      <c r="G599" s="7">
        <v>2.960000000001628E-2</v>
      </c>
      <c r="H599" s="7">
        <f>Ventas[[#This Row],[SUBTOTAL]]+Ventas[[#This Row],[IVA]]+Ventas[[#This Row],[DESCUENTO/EXTRA]]</f>
        <v>306.2</v>
      </c>
      <c r="I599" t="s">
        <v>18</v>
      </c>
      <c r="J599" t="s">
        <v>29</v>
      </c>
      <c r="K599" t="s">
        <v>25</v>
      </c>
      <c r="L599" t="s">
        <v>16</v>
      </c>
    </row>
    <row r="600" spans="1:12">
      <c r="A600" s="3">
        <v>45499</v>
      </c>
      <c r="B600" t="s">
        <v>35</v>
      </c>
      <c r="C600" s="5">
        <v>5</v>
      </c>
      <c r="D600" s="7">
        <v>27.31</v>
      </c>
      <c r="E600" s="7">
        <f>Ventas[[#This Row],[CANTIDAD]]*Ventas[[#This Row],[PRECIO_UNIT]]</f>
        <v>136.54999999999998</v>
      </c>
      <c r="F600" s="7">
        <f>Ventas[[#This Row],[SUBTOTAL]]*0.16</f>
        <v>21.847999999999999</v>
      </c>
      <c r="G600" s="7">
        <v>-2.7999999999963165E-2</v>
      </c>
      <c r="H600" s="7">
        <f>Ventas[[#This Row],[SUBTOTAL]]+Ventas[[#This Row],[IVA]]+Ventas[[#This Row],[DESCUENTO/EXTRA]]</f>
        <v>158.37</v>
      </c>
      <c r="I600" t="s">
        <v>41</v>
      </c>
      <c r="J600" t="s">
        <v>30</v>
      </c>
      <c r="K600" t="s">
        <v>15</v>
      </c>
      <c r="L600" t="s">
        <v>16</v>
      </c>
    </row>
    <row r="601" spans="1:12">
      <c r="A601" s="3">
        <v>45499</v>
      </c>
      <c r="B601" t="s">
        <v>12</v>
      </c>
      <c r="C601" s="5">
        <v>27</v>
      </c>
      <c r="D601" s="7">
        <v>58.16</v>
      </c>
      <c r="E601" s="7">
        <f>Ventas[[#This Row],[CANTIDAD]]*Ventas[[#This Row],[PRECIO_UNIT]]</f>
        <v>1570.32</v>
      </c>
      <c r="F601" s="7">
        <f>Ventas[[#This Row],[SUBTOTAL]]*0.16</f>
        <v>251.25119999999998</v>
      </c>
      <c r="G601" s="7">
        <v>0.1488000000001648</v>
      </c>
      <c r="H601" s="7">
        <f>Ventas[[#This Row],[SUBTOTAL]]+Ventas[[#This Row],[IVA]]+Ventas[[#This Row],[DESCUENTO/EXTRA]]</f>
        <v>1821.72</v>
      </c>
      <c r="I601" t="s">
        <v>18</v>
      </c>
      <c r="J601" t="s">
        <v>44</v>
      </c>
      <c r="K601" t="s">
        <v>25</v>
      </c>
      <c r="L601" t="s">
        <v>16</v>
      </c>
    </row>
    <row r="602" spans="1:12">
      <c r="A602" s="3">
        <v>45499</v>
      </c>
      <c r="B602" t="s">
        <v>40</v>
      </c>
      <c r="C602" s="5">
        <v>7</v>
      </c>
      <c r="D602" s="7">
        <v>33.56</v>
      </c>
      <c r="E602" s="7">
        <f>Ventas[[#This Row],[CANTIDAD]]*Ventas[[#This Row],[PRECIO_UNIT]]</f>
        <v>234.92000000000002</v>
      </c>
      <c r="F602" s="7">
        <f>Ventas[[#This Row],[SUBTOTAL]]*0.16</f>
        <v>37.587200000000003</v>
      </c>
      <c r="G602" s="7">
        <v>3.2800000000008822E-2</v>
      </c>
      <c r="H602" s="7">
        <f>Ventas[[#This Row],[SUBTOTAL]]+Ventas[[#This Row],[IVA]]+Ventas[[#This Row],[DESCUENTO/EXTRA]]</f>
        <v>272.54000000000002</v>
      </c>
      <c r="I602" t="s">
        <v>18</v>
      </c>
      <c r="J602" t="s">
        <v>19</v>
      </c>
      <c r="K602" t="s">
        <v>25</v>
      </c>
      <c r="L602" t="s">
        <v>16</v>
      </c>
    </row>
    <row r="603" spans="1:12">
      <c r="A603" s="3">
        <v>45500</v>
      </c>
      <c r="B603" t="s">
        <v>28</v>
      </c>
      <c r="C603" s="5">
        <v>13</v>
      </c>
      <c r="D603" s="7">
        <v>79</v>
      </c>
      <c r="E603" s="7">
        <f>Ventas[[#This Row],[CANTIDAD]]*Ventas[[#This Row],[PRECIO_UNIT]]</f>
        <v>1027</v>
      </c>
      <c r="F603" s="7">
        <f>Ventas[[#This Row],[SUBTOTAL]]*0.16</f>
        <v>164.32</v>
      </c>
      <c r="G603" s="7">
        <v>-3.3199999999999363</v>
      </c>
      <c r="H603" s="7">
        <f>Ventas[[#This Row],[SUBTOTAL]]+Ventas[[#This Row],[IVA]]+Ventas[[#This Row],[DESCUENTO/EXTRA]]</f>
        <v>1188</v>
      </c>
      <c r="I603" t="s">
        <v>13</v>
      </c>
      <c r="J603" t="s">
        <v>36</v>
      </c>
      <c r="K603" t="s">
        <v>25</v>
      </c>
      <c r="L603" t="s">
        <v>16</v>
      </c>
    </row>
    <row r="604" spans="1:12">
      <c r="A604" s="3">
        <v>45503</v>
      </c>
      <c r="B604" t="s">
        <v>17</v>
      </c>
      <c r="C604" s="5">
        <v>19</v>
      </c>
      <c r="D604" s="7">
        <v>32</v>
      </c>
      <c r="E604" s="7">
        <f>Ventas[[#This Row],[CANTIDAD]]*Ventas[[#This Row],[PRECIO_UNIT]]</f>
        <v>608</v>
      </c>
      <c r="F604" s="7">
        <f>Ventas[[#This Row],[SUBTOTAL]]*0.16</f>
        <v>97.28</v>
      </c>
      <c r="G604" s="7">
        <v>10.720000000000027</v>
      </c>
      <c r="H604" s="7">
        <f>Ventas[[#This Row],[SUBTOTAL]]+Ventas[[#This Row],[IVA]]+Ventas[[#This Row],[DESCUENTO/EXTRA]]</f>
        <v>716</v>
      </c>
      <c r="I604" t="s">
        <v>18</v>
      </c>
      <c r="J604" t="s">
        <v>38</v>
      </c>
      <c r="K604" t="s">
        <v>15</v>
      </c>
      <c r="L604" t="s">
        <v>16</v>
      </c>
    </row>
    <row r="605" spans="1:12">
      <c r="A605" s="3">
        <v>45504</v>
      </c>
      <c r="B605" t="s">
        <v>40</v>
      </c>
      <c r="C605" s="5">
        <v>20</v>
      </c>
      <c r="D605" s="7">
        <v>31.75</v>
      </c>
      <c r="E605" s="7">
        <f>Ventas[[#This Row],[CANTIDAD]]*Ventas[[#This Row],[PRECIO_UNIT]]</f>
        <v>635</v>
      </c>
      <c r="F605" s="7">
        <f>Ventas[[#This Row],[SUBTOTAL]]*0.16</f>
        <v>101.60000000000001</v>
      </c>
      <c r="G605" s="7">
        <v>2.9999999999972715E-2</v>
      </c>
      <c r="H605" s="7">
        <f>Ventas[[#This Row],[SUBTOTAL]]+Ventas[[#This Row],[IVA]]+Ventas[[#This Row],[DESCUENTO/EXTRA]]</f>
        <v>736.63</v>
      </c>
      <c r="I605" t="s">
        <v>23</v>
      </c>
      <c r="J605" t="s">
        <v>56</v>
      </c>
      <c r="K605" t="s">
        <v>25</v>
      </c>
      <c r="L605" t="s">
        <v>16</v>
      </c>
    </row>
    <row r="606" spans="1:12">
      <c r="A606" s="3">
        <v>45505</v>
      </c>
      <c r="B606" t="s">
        <v>12</v>
      </c>
      <c r="C606" s="5">
        <v>12</v>
      </c>
      <c r="D606" s="7">
        <v>54.98</v>
      </c>
      <c r="E606" s="7">
        <f>Ventas[[#This Row],[CANTIDAD]]*Ventas[[#This Row],[PRECIO_UNIT]]</f>
        <v>659.76</v>
      </c>
      <c r="F606" s="7">
        <f>Ventas[[#This Row],[SUBTOTAL]]*0.16</f>
        <v>105.5616</v>
      </c>
      <c r="G606" s="7">
        <v>-3.160000000002583E-2</v>
      </c>
      <c r="H606" s="7">
        <f>Ventas[[#This Row],[SUBTOTAL]]+Ventas[[#This Row],[IVA]]+Ventas[[#This Row],[DESCUENTO/EXTRA]]</f>
        <v>765.29</v>
      </c>
      <c r="I606" t="s">
        <v>32</v>
      </c>
      <c r="J606" t="s">
        <v>44</v>
      </c>
      <c r="K606" t="s">
        <v>25</v>
      </c>
      <c r="L606" t="s">
        <v>16</v>
      </c>
    </row>
    <row r="607" spans="1:12">
      <c r="A607" s="3">
        <v>45506</v>
      </c>
      <c r="B607" t="s">
        <v>12</v>
      </c>
      <c r="C607" s="5">
        <v>6</v>
      </c>
      <c r="D607" s="7">
        <v>58.43</v>
      </c>
      <c r="E607" s="7">
        <f>Ventas[[#This Row],[CANTIDAD]]*Ventas[[#This Row],[PRECIO_UNIT]]</f>
        <v>350.58</v>
      </c>
      <c r="F607" s="7">
        <f>Ventas[[#This Row],[SUBTOTAL]]*0.16</f>
        <v>56.092799999999997</v>
      </c>
      <c r="G607" s="7">
        <v>1.7200000000002547E-2</v>
      </c>
      <c r="H607" s="7">
        <f>Ventas[[#This Row],[SUBTOTAL]]+Ventas[[#This Row],[IVA]]+Ventas[[#This Row],[DESCUENTO/EXTRA]]</f>
        <v>406.69</v>
      </c>
      <c r="I607" t="s">
        <v>18</v>
      </c>
      <c r="J607" t="s">
        <v>54</v>
      </c>
      <c r="K607" t="s">
        <v>25</v>
      </c>
      <c r="L607" t="s">
        <v>16</v>
      </c>
    </row>
    <row r="608" spans="1:12">
      <c r="A608" s="3">
        <v>45506</v>
      </c>
      <c r="B608" t="s">
        <v>40</v>
      </c>
      <c r="C608" s="5">
        <v>21</v>
      </c>
      <c r="D608" s="7">
        <v>31</v>
      </c>
      <c r="E608" s="7">
        <f>Ventas[[#This Row],[CANTIDAD]]*Ventas[[#This Row],[PRECIO_UNIT]]</f>
        <v>651</v>
      </c>
      <c r="F608" s="7">
        <f>Ventas[[#This Row],[SUBTOTAL]]*0.16</f>
        <v>104.16</v>
      </c>
      <c r="G608" s="7">
        <v>-7.1599999999999682</v>
      </c>
      <c r="H608" s="7">
        <f>Ventas[[#This Row],[SUBTOTAL]]+Ventas[[#This Row],[IVA]]+Ventas[[#This Row],[DESCUENTO/EXTRA]]</f>
        <v>748</v>
      </c>
      <c r="I608" t="s">
        <v>32</v>
      </c>
      <c r="J608" t="s">
        <v>56</v>
      </c>
      <c r="K608" t="s">
        <v>25</v>
      </c>
      <c r="L608" t="s">
        <v>16</v>
      </c>
    </row>
    <row r="609" spans="1:12">
      <c r="A609" s="3">
        <v>45507</v>
      </c>
      <c r="B609" t="s">
        <v>46</v>
      </c>
      <c r="C609" s="5">
        <v>3</v>
      </c>
      <c r="D609" s="7">
        <v>28</v>
      </c>
      <c r="E609" s="7">
        <f>Ventas[[#This Row],[CANTIDAD]]*Ventas[[#This Row],[PRECIO_UNIT]]</f>
        <v>84</v>
      </c>
      <c r="F609" s="7">
        <f>Ventas[[#This Row],[SUBTOTAL]]*0.16</f>
        <v>13.44</v>
      </c>
      <c r="G609" s="7">
        <v>-1.4399999999999977</v>
      </c>
      <c r="H609" s="7">
        <f>Ventas[[#This Row],[SUBTOTAL]]+Ventas[[#This Row],[IVA]]+Ventas[[#This Row],[DESCUENTO/EXTRA]]</f>
        <v>96</v>
      </c>
      <c r="I609" t="s">
        <v>41</v>
      </c>
      <c r="J609" t="s">
        <v>33</v>
      </c>
      <c r="K609" t="s">
        <v>25</v>
      </c>
      <c r="L609" t="s">
        <v>16</v>
      </c>
    </row>
    <row r="610" spans="1:12">
      <c r="A610" s="3">
        <v>45507</v>
      </c>
      <c r="B610" t="s">
        <v>28</v>
      </c>
      <c r="C610" s="5">
        <v>12</v>
      </c>
      <c r="D610" s="7">
        <v>77.489999999999995</v>
      </c>
      <c r="E610" s="7">
        <f>Ventas[[#This Row],[CANTIDAD]]*Ventas[[#This Row],[PRECIO_UNIT]]</f>
        <v>929.87999999999988</v>
      </c>
      <c r="F610" s="7">
        <f>Ventas[[#This Row],[SUBTOTAL]]*0.16</f>
        <v>148.78079999999997</v>
      </c>
      <c r="G610" s="7">
        <v>9.2000000001917215E-3</v>
      </c>
      <c r="H610" s="7">
        <f>Ventas[[#This Row],[SUBTOTAL]]+Ventas[[#This Row],[IVA]]+Ventas[[#This Row],[DESCUENTO/EXTRA]]</f>
        <v>1078.67</v>
      </c>
      <c r="I610" t="s">
        <v>23</v>
      </c>
      <c r="J610" t="s">
        <v>55</v>
      </c>
      <c r="K610" t="s">
        <v>15</v>
      </c>
      <c r="L610" t="s">
        <v>16</v>
      </c>
    </row>
    <row r="611" spans="1:12">
      <c r="A611" s="3">
        <v>45510</v>
      </c>
      <c r="B611" t="s">
        <v>45</v>
      </c>
      <c r="C611" s="5">
        <v>19</v>
      </c>
      <c r="D611" s="7">
        <v>44</v>
      </c>
      <c r="E611" s="7">
        <f>Ventas[[#This Row],[CANTIDAD]]*Ventas[[#This Row],[PRECIO_UNIT]]</f>
        <v>836</v>
      </c>
      <c r="F611" s="7">
        <f>Ventas[[#This Row],[SUBTOTAL]]*0.16</f>
        <v>133.76</v>
      </c>
      <c r="G611" s="7">
        <v>-1.1699999999999591</v>
      </c>
      <c r="H611" s="7">
        <f>Ventas[[#This Row],[SUBTOTAL]]+Ventas[[#This Row],[IVA]]+Ventas[[#This Row],[DESCUENTO/EXTRA]]</f>
        <v>968.59</v>
      </c>
      <c r="I611" t="s">
        <v>32</v>
      </c>
      <c r="J611" t="s">
        <v>52</v>
      </c>
      <c r="K611" t="s">
        <v>15</v>
      </c>
      <c r="L611" t="s">
        <v>16</v>
      </c>
    </row>
    <row r="612" spans="1:12">
      <c r="A612" s="3">
        <v>45510</v>
      </c>
      <c r="B612" t="s">
        <v>17</v>
      </c>
      <c r="C612" s="5">
        <v>28</v>
      </c>
      <c r="D612" s="7">
        <v>32.65</v>
      </c>
      <c r="E612" s="7">
        <f>Ventas[[#This Row],[CANTIDAD]]*Ventas[[#This Row],[PRECIO_UNIT]]</f>
        <v>914.19999999999993</v>
      </c>
      <c r="F612" s="7">
        <f>Ventas[[#This Row],[SUBTOTAL]]*0.16</f>
        <v>146.27199999999999</v>
      </c>
      <c r="G612" s="7">
        <v>0.52800000000002001</v>
      </c>
      <c r="H612" s="7">
        <f>Ventas[[#This Row],[SUBTOTAL]]+Ventas[[#This Row],[IVA]]+Ventas[[#This Row],[DESCUENTO/EXTRA]]</f>
        <v>1061</v>
      </c>
      <c r="I612" t="s">
        <v>18</v>
      </c>
      <c r="J612" t="s">
        <v>52</v>
      </c>
      <c r="K612" t="s">
        <v>15</v>
      </c>
      <c r="L612" t="s">
        <v>16</v>
      </c>
    </row>
    <row r="613" spans="1:12">
      <c r="A613" s="3">
        <v>45511</v>
      </c>
      <c r="B613" t="s">
        <v>35</v>
      </c>
      <c r="C613" s="5">
        <v>24</v>
      </c>
      <c r="D613" s="7">
        <v>25</v>
      </c>
      <c r="E613" s="7">
        <f>Ventas[[#This Row],[CANTIDAD]]*Ventas[[#This Row],[PRECIO_UNIT]]</f>
        <v>600</v>
      </c>
      <c r="F613" s="7">
        <f>Ventas[[#This Row],[SUBTOTAL]]*0.16</f>
        <v>96</v>
      </c>
      <c r="G613" s="7">
        <v>4</v>
      </c>
      <c r="H613" s="7">
        <f>Ventas[[#This Row],[SUBTOTAL]]+Ventas[[#This Row],[IVA]]+Ventas[[#This Row],[DESCUENTO/EXTRA]]</f>
        <v>700</v>
      </c>
      <c r="I613" t="s">
        <v>32</v>
      </c>
      <c r="J613" t="s">
        <v>24</v>
      </c>
      <c r="K613" t="s">
        <v>15</v>
      </c>
      <c r="L613" t="s">
        <v>16</v>
      </c>
    </row>
    <row r="614" spans="1:12">
      <c r="A614" s="3">
        <v>45511</v>
      </c>
      <c r="B614" t="s">
        <v>28</v>
      </c>
      <c r="C614" s="5">
        <v>6</v>
      </c>
      <c r="D614" s="7">
        <v>83</v>
      </c>
      <c r="E614" s="7">
        <f>Ventas[[#This Row],[CANTIDAD]]*Ventas[[#This Row],[PRECIO_UNIT]]</f>
        <v>498</v>
      </c>
      <c r="F614" s="7">
        <f>Ventas[[#This Row],[SUBTOTAL]]*0.16</f>
        <v>79.680000000000007</v>
      </c>
      <c r="G614" s="7">
        <v>0.65999999999996817</v>
      </c>
      <c r="H614" s="7">
        <f>Ventas[[#This Row],[SUBTOTAL]]+Ventas[[#This Row],[IVA]]+Ventas[[#This Row],[DESCUENTO/EXTRA]]</f>
        <v>578.34</v>
      </c>
      <c r="I614" t="s">
        <v>32</v>
      </c>
      <c r="J614" t="s">
        <v>50</v>
      </c>
      <c r="K614" t="s">
        <v>15</v>
      </c>
      <c r="L614" t="s">
        <v>16</v>
      </c>
    </row>
    <row r="615" spans="1:12">
      <c r="A615" s="3">
        <v>45511</v>
      </c>
      <c r="B615" t="s">
        <v>22</v>
      </c>
      <c r="C615" s="5">
        <v>7</v>
      </c>
      <c r="D615" s="7">
        <v>19</v>
      </c>
      <c r="E615" s="7">
        <f>Ventas[[#This Row],[CANTIDAD]]*Ventas[[#This Row],[PRECIO_UNIT]]</f>
        <v>133</v>
      </c>
      <c r="F615" s="7">
        <f>Ventas[[#This Row],[SUBTOTAL]]*0.16</f>
        <v>21.28</v>
      </c>
      <c r="G615" s="7">
        <v>7.1299999999999955</v>
      </c>
      <c r="H615" s="7">
        <f>Ventas[[#This Row],[SUBTOTAL]]+Ventas[[#This Row],[IVA]]+Ventas[[#This Row],[DESCUENTO/EXTRA]]</f>
        <v>161.41</v>
      </c>
      <c r="I615" t="s">
        <v>18</v>
      </c>
      <c r="J615" t="s">
        <v>36</v>
      </c>
      <c r="K615" t="s">
        <v>15</v>
      </c>
      <c r="L615" t="s">
        <v>16</v>
      </c>
    </row>
    <row r="616" spans="1:12">
      <c r="A616" s="3">
        <v>45513</v>
      </c>
      <c r="B616" t="s">
        <v>20</v>
      </c>
      <c r="C616" s="5">
        <v>17</v>
      </c>
      <c r="D616" s="7">
        <v>12</v>
      </c>
      <c r="E616" s="7">
        <f>Ventas[[#This Row],[CANTIDAD]]*Ventas[[#This Row],[PRECIO_UNIT]]</f>
        <v>204</v>
      </c>
      <c r="F616" s="7">
        <f>Ventas[[#This Row],[SUBTOTAL]]*0.16</f>
        <v>32.64</v>
      </c>
      <c r="G616" s="7">
        <v>0.81000000000000227</v>
      </c>
      <c r="H616" s="7">
        <f>Ventas[[#This Row],[SUBTOTAL]]+Ventas[[#This Row],[IVA]]+Ventas[[#This Row],[DESCUENTO/EXTRA]]</f>
        <v>237.45</v>
      </c>
      <c r="I616" t="s">
        <v>23</v>
      </c>
      <c r="J616" t="s">
        <v>31</v>
      </c>
      <c r="K616" t="s">
        <v>15</v>
      </c>
      <c r="L616" t="s">
        <v>16</v>
      </c>
    </row>
    <row r="617" spans="1:12">
      <c r="A617" s="3">
        <v>45513</v>
      </c>
      <c r="B617" t="s">
        <v>46</v>
      </c>
      <c r="C617" s="5">
        <v>6</v>
      </c>
      <c r="D617" s="7">
        <v>26</v>
      </c>
      <c r="E617" s="7">
        <f>Ventas[[#This Row],[CANTIDAD]]*Ventas[[#This Row],[PRECIO_UNIT]]</f>
        <v>156</v>
      </c>
      <c r="F617" s="7">
        <f>Ventas[[#This Row],[SUBTOTAL]]*0.16</f>
        <v>24.96</v>
      </c>
      <c r="G617" s="7">
        <v>3.039999999999992</v>
      </c>
      <c r="H617" s="7">
        <f>Ventas[[#This Row],[SUBTOTAL]]+Ventas[[#This Row],[IVA]]+Ventas[[#This Row],[DESCUENTO/EXTRA]]</f>
        <v>184</v>
      </c>
      <c r="I617" t="s">
        <v>18</v>
      </c>
      <c r="J617" t="s">
        <v>30</v>
      </c>
      <c r="K617" t="s">
        <v>15</v>
      </c>
      <c r="L617" t="s">
        <v>16</v>
      </c>
    </row>
    <row r="618" spans="1:12">
      <c r="A618" s="3">
        <v>45514</v>
      </c>
      <c r="B618" t="s">
        <v>17</v>
      </c>
      <c r="C618" s="5">
        <v>14</v>
      </c>
      <c r="D618" s="7">
        <v>37</v>
      </c>
      <c r="E618" s="7">
        <f>Ventas[[#This Row],[CANTIDAD]]*Ventas[[#This Row],[PRECIO_UNIT]]</f>
        <v>518</v>
      </c>
      <c r="F618" s="7">
        <f>Ventas[[#This Row],[SUBTOTAL]]*0.16</f>
        <v>82.88</v>
      </c>
      <c r="G618" s="7">
        <v>0.12000000000000455</v>
      </c>
      <c r="H618" s="7">
        <f>Ventas[[#This Row],[SUBTOTAL]]+Ventas[[#This Row],[IVA]]+Ventas[[#This Row],[DESCUENTO/EXTRA]]</f>
        <v>601</v>
      </c>
      <c r="I618" t="s">
        <v>23</v>
      </c>
      <c r="J618" t="s">
        <v>21</v>
      </c>
      <c r="K618" t="s">
        <v>15</v>
      </c>
      <c r="L618" t="s">
        <v>16</v>
      </c>
    </row>
    <row r="619" spans="1:12">
      <c r="A619" s="3">
        <v>45514</v>
      </c>
      <c r="B619" t="s">
        <v>26</v>
      </c>
      <c r="C619" s="5">
        <v>9</v>
      </c>
      <c r="D619" s="7">
        <v>39</v>
      </c>
      <c r="E619" s="7">
        <f>Ventas[[#This Row],[CANTIDAD]]*Ventas[[#This Row],[PRECIO_UNIT]]</f>
        <v>351</v>
      </c>
      <c r="F619" s="7">
        <f>Ventas[[#This Row],[SUBTOTAL]]*0.16</f>
        <v>56.160000000000004</v>
      </c>
      <c r="G619" s="7">
        <v>4.4499999999999886</v>
      </c>
      <c r="H619" s="7">
        <f>Ventas[[#This Row],[SUBTOTAL]]+Ventas[[#This Row],[IVA]]+Ventas[[#This Row],[DESCUENTO/EXTRA]]</f>
        <v>411.61</v>
      </c>
      <c r="I619" t="s">
        <v>18</v>
      </c>
      <c r="J619" t="s">
        <v>30</v>
      </c>
      <c r="K619" t="s">
        <v>15</v>
      </c>
      <c r="L619" t="s">
        <v>16</v>
      </c>
    </row>
    <row r="620" spans="1:12">
      <c r="A620" s="3">
        <v>45516</v>
      </c>
      <c r="B620" t="s">
        <v>40</v>
      </c>
      <c r="C620" s="5">
        <v>28</v>
      </c>
      <c r="D620" s="7">
        <v>33.42</v>
      </c>
      <c r="E620" s="7">
        <f>Ventas[[#This Row],[CANTIDAD]]*Ventas[[#This Row],[PRECIO_UNIT]]</f>
        <v>935.76</v>
      </c>
      <c r="F620" s="7">
        <f>Ventas[[#This Row],[SUBTOTAL]]*0.16</f>
        <v>149.7216</v>
      </c>
      <c r="G620" s="7">
        <v>-0.4816000000000713</v>
      </c>
      <c r="H620" s="7">
        <f>Ventas[[#This Row],[SUBTOTAL]]+Ventas[[#This Row],[IVA]]+Ventas[[#This Row],[DESCUENTO/EXTRA]]</f>
        <v>1085</v>
      </c>
      <c r="I620" t="s">
        <v>32</v>
      </c>
      <c r="J620" t="s">
        <v>38</v>
      </c>
      <c r="K620" t="s">
        <v>25</v>
      </c>
      <c r="L620" t="s">
        <v>16</v>
      </c>
    </row>
    <row r="621" spans="1:12">
      <c r="A621" s="3">
        <v>45517</v>
      </c>
      <c r="B621" t="s">
        <v>26</v>
      </c>
      <c r="C621" s="5">
        <v>7</v>
      </c>
      <c r="D621" s="7">
        <v>44</v>
      </c>
      <c r="E621" s="7">
        <f>Ventas[[#This Row],[CANTIDAD]]*Ventas[[#This Row],[PRECIO_UNIT]]</f>
        <v>308</v>
      </c>
      <c r="F621" s="7">
        <f>Ventas[[#This Row],[SUBTOTAL]]*0.16</f>
        <v>49.28</v>
      </c>
      <c r="G621" s="7">
        <v>-4.2799999999999727</v>
      </c>
      <c r="H621" s="7">
        <f>Ventas[[#This Row],[SUBTOTAL]]+Ventas[[#This Row],[IVA]]+Ventas[[#This Row],[DESCUENTO/EXTRA]]</f>
        <v>353</v>
      </c>
      <c r="I621" t="s">
        <v>13</v>
      </c>
      <c r="J621" t="s">
        <v>47</v>
      </c>
      <c r="K621" t="s">
        <v>25</v>
      </c>
      <c r="L621" t="s">
        <v>16</v>
      </c>
    </row>
    <row r="622" spans="1:12">
      <c r="A622" s="3">
        <v>45517</v>
      </c>
      <c r="B622" t="s">
        <v>37</v>
      </c>
      <c r="C622" s="5">
        <v>12</v>
      </c>
      <c r="D622" s="7">
        <v>24.75</v>
      </c>
      <c r="E622" s="7">
        <f>Ventas[[#This Row],[CANTIDAD]]*Ventas[[#This Row],[PRECIO_UNIT]]</f>
        <v>297</v>
      </c>
      <c r="F622" s="7">
        <f>Ventas[[#This Row],[SUBTOTAL]]*0.16</f>
        <v>47.52</v>
      </c>
      <c r="G622" s="7">
        <v>-1.999999999998181E-2</v>
      </c>
      <c r="H622" s="7">
        <f>Ventas[[#This Row],[SUBTOTAL]]+Ventas[[#This Row],[IVA]]+Ventas[[#This Row],[DESCUENTO/EXTRA]]</f>
        <v>344.5</v>
      </c>
      <c r="I622" t="s">
        <v>23</v>
      </c>
      <c r="J622" t="s">
        <v>31</v>
      </c>
      <c r="K622" t="s">
        <v>25</v>
      </c>
      <c r="L622" t="s">
        <v>16</v>
      </c>
    </row>
    <row r="623" spans="1:12">
      <c r="A623" s="3">
        <v>45518</v>
      </c>
      <c r="B623" t="s">
        <v>35</v>
      </c>
      <c r="C623" s="5">
        <v>1</v>
      </c>
      <c r="D623" s="7">
        <v>27.88</v>
      </c>
      <c r="E623" s="7">
        <f>Ventas[[#This Row],[CANTIDAD]]*Ventas[[#This Row],[PRECIO_UNIT]]</f>
        <v>27.88</v>
      </c>
      <c r="F623" s="7">
        <f>Ventas[[#This Row],[SUBTOTAL]]*0.16</f>
        <v>4.4607999999999999</v>
      </c>
      <c r="G623" s="7">
        <v>-0.34080000000000155</v>
      </c>
      <c r="H623" s="7">
        <f>Ventas[[#This Row],[SUBTOTAL]]+Ventas[[#This Row],[IVA]]+Ventas[[#This Row],[DESCUENTO/EXTRA]]</f>
        <v>32</v>
      </c>
      <c r="I623" t="s">
        <v>18</v>
      </c>
      <c r="J623" t="s">
        <v>36</v>
      </c>
      <c r="K623" t="s">
        <v>25</v>
      </c>
      <c r="L623" t="s">
        <v>16</v>
      </c>
    </row>
    <row r="624" spans="1:12">
      <c r="A624" s="3">
        <v>45518</v>
      </c>
      <c r="B624" t="s">
        <v>43</v>
      </c>
      <c r="C624" s="5">
        <v>1</v>
      </c>
      <c r="D624" s="7">
        <v>27</v>
      </c>
      <c r="E624" s="7">
        <f>Ventas[[#This Row],[CANTIDAD]]*Ventas[[#This Row],[PRECIO_UNIT]]</f>
        <v>27</v>
      </c>
      <c r="F624" s="7">
        <f>Ventas[[#This Row],[SUBTOTAL]]*0.16</f>
        <v>4.32</v>
      </c>
      <c r="G624" s="7">
        <v>0.53999999999999915</v>
      </c>
      <c r="H624" s="7">
        <f>Ventas[[#This Row],[SUBTOTAL]]+Ventas[[#This Row],[IVA]]+Ventas[[#This Row],[DESCUENTO/EXTRA]]</f>
        <v>31.86</v>
      </c>
      <c r="I624" t="s">
        <v>23</v>
      </c>
      <c r="J624" t="s">
        <v>31</v>
      </c>
      <c r="K624" t="s">
        <v>15</v>
      </c>
      <c r="L624" t="s">
        <v>16</v>
      </c>
    </row>
    <row r="625" spans="1:12">
      <c r="A625" s="3">
        <v>45519</v>
      </c>
      <c r="B625" t="s">
        <v>17</v>
      </c>
      <c r="C625" s="5">
        <v>1</v>
      </c>
      <c r="D625" s="7">
        <v>37</v>
      </c>
      <c r="E625" s="7">
        <f>Ventas[[#This Row],[CANTIDAD]]*Ventas[[#This Row],[PRECIO_UNIT]]</f>
        <v>37</v>
      </c>
      <c r="F625" s="7">
        <f>Ventas[[#This Row],[SUBTOTAL]]*0.16</f>
        <v>5.92</v>
      </c>
      <c r="G625" s="7">
        <v>1.9999999999996021E-2</v>
      </c>
      <c r="H625" s="7">
        <f>Ventas[[#This Row],[SUBTOTAL]]+Ventas[[#This Row],[IVA]]+Ventas[[#This Row],[DESCUENTO/EXTRA]]</f>
        <v>42.94</v>
      </c>
      <c r="I625" t="s">
        <v>23</v>
      </c>
      <c r="J625" t="s">
        <v>47</v>
      </c>
      <c r="K625" t="s">
        <v>25</v>
      </c>
      <c r="L625" t="s">
        <v>16</v>
      </c>
    </row>
    <row r="626" spans="1:12">
      <c r="A626" s="3">
        <v>45520</v>
      </c>
      <c r="B626" t="s">
        <v>45</v>
      </c>
      <c r="C626" s="5">
        <v>25</v>
      </c>
      <c r="D626" s="7">
        <v>48.09</v>
      </c>
      <c r="E626" s="7">
        <f>Ventas[[#This Row],[CANTIDAD]]*Ventas[[#This Row],[PRECIO_UNIT]]</f>
        <v>1202.25</v>
      </c>
      <c r="F626" s="7">
        <f>Ventas[[#This Row],[SUBTOTAL]]*0.16</f>
        <v>192.36</v>
      </c>
      <c r="G626" s="7">
        <v>-0.61000000000012733</v>
      </c>
      <c r="H626" s="7">
        <f>Ventas[[#This Row],[SUBTOTAL]]+Ventas[[#This Row],[IVA]]+Ventas[[#This Row],[DESCUENTO/EXTRA]]</f>
        <v>1394</v>
      </c>
      <c r="I626" t="s">
        <v>18</v>
      </c>
      <c r="J626" t="s">
        <v>55</v>
      </c>
      <c r="K626" t="s">
        <v>15</v>
      </c>
      <c r="L626" t="s">
        <v>16</v>
      </c>
    </row>
    <row r="627" spans="1:12">
      <c r="A627" s="3">
        <v>45521</v>
      </c>
      <c r="B627" t="s">
        <v>17</v>
      </c>
      <c r="C627" s="5">
        <v>24</v>
      </c>
      <c r="D627" s="7">
        <v>33.56</v>
      </c>
      <c r="E627" s="7">
        <f>Ventas[[#This Row],[CANTIDAD]]*Ventas[[#This Row],[PRECIO_UNIT]]</f>
        <v>805.44</v>
      </c>
      <c r="F627" s="7">
        <f>Ventas[[#This Row],[SUBTOTAL]]*0.16</f>
        <v>128.87040000000002</v>
      </c>
      <c r="G627" s="7">
        <v>-0.3104000000000724</v>
      </c>
      <c r="H627" s="7">
        <f>Ventas[[#This Row],[SUBTOTAL]]+Ventas[[#This Row],[IVA]]+Ventas[[#This Row],[DESCUENTO/EXTRA]]</f>
        <v>934</v>
      </c>
      <c r="I627" t="s">
        <v>41</v>
      </c>
      <c r="J627" t="s">
        <v>30</v>
      </c>
      <c r="K627" t="s">
        <v>25</v>
      </c>
      <c r="L627" t="s">
        <v>16</v>
      </c>
    </row>
    <row r="628" spans="1:12">
      <c r="A628" s="3">
        <v>45521</v>
      </c>
      <c r="B628" t="s">
        <v>12</v>
      </c>
      <c r="C628" s="5">
        <v>26</v>
      </c>
      <c r="D628" s="7">
        <v>57.16</v>
      </c>
      <c r="E628" s="7">
        <f>Ventas[[#This Row],[CANTIDAD]]*Ventas[[#This Row],[PRECIO_UNIT]]</f>
        <v>1486.1599999999999</v>
      </c>
      <c r="F628" s="7">
        <f>Ventas[[#This Row],[SUBTOTAL]]*0.16</f>
        <v>237.78559999999999</v>
      </c>
      <c r="G628" s="7">
        <v>5.4400000000214277E-2</v>
      </c>
      <c r="H628" s="7">
        <f>Ventas[[#This Row],[SUBTOTAL]]+Ventas[[#This Row],[IVA]]+Ventas[[#This Row],[DESCUENTO/EXTRA]]</f>
        <v>1724</v>
      </c>
      <c r="I628" t="s">
        <v>23</v>
      </c>
      <c r="J628" t="s">
        <v>51</v>
      </c>
      <c r="K628" t="s">
        <v>15</v>
      </c>
      <c r="L628" t="s">
        <v>16</v>
      </c>
    </row>
    <row r="629" spans="1:12">
      <c r="A629" s="3">
        <v>45523</v>
      </c>
      <c r="B629" t="s">
        <v>22</v>
      </c>
      <c r="C629" s="5">
        <v>2</v>
      </c>
      <c r="D629" s="7">
        <v>19.87</v>
      </c>
      <c r="E629" s="7">
        <f>Ventas[[#This Row],[CANTIDAD]]*Ventas[[#This Row],[PRECIO_UNIT]]</f>
        <v>39.74</v>
      </c>
      <c r="F629" s="7">
        <f>Ventas[[#This Row],[SUBTOTAL]]*0.16</f>
        <v>6.3584000000000005</v>
      </c>
      <c r="G629" s="7">
        <v>1.5999999999962711E-3</v>
      </c>
      <c r="H629" s="7">
        <f>Ventas[[#This Row],[SUBTOTAL]]+Ventas[[#This Row],[IVA]]+Ventas[[#This Row],[DESCUENTO/EXTRA]]</f>
        <v>46.1</v>
      </c>
      <c r="I629" t="s">
        <v>32</v>
      </c>
      <c r="J629" t="s">
        <v>31</v>
      </c>
      <c r="K629" t="s">
        <v>15</v>
      </c>
      <c r="L629" t="s">
        <v>16</v>
      </c>
    </row>
    <row r="630" spans="1:12">
      <c r="A630" s="3">
        <v>45525</v>
      </c>
      <c r="B630" t="s">
        <v>17</v>
      </c>
      <c r="C630" s="5">
        <v>6</v>
      </c>
      <c r="D630" s="7">
        <v>33</v>
      </c>
      <c r="E630" s="7">
        <f>Ventas[[#This Row],[CANTIDAD]]*Ventas[[#This Row],[PRECIO_UNIT]]</f>
        <v>198</v>
      </c>
      <c r="F630" s="7">
        <f>Ventas[[#This Row],[SUBTOTAL]]*0.16</f>
        <v>31.68</v>
      </c>
      <c r="G630" s="7">
        <v>-1.2600000000000193</v>
      </c>
      <c r="H630" s="7">
        <f>Ventas[[#This Row],[SUBTOTAL]]+Ventas[[#This Row],[IVA]]+Ventas[[#This Row],[DESCUENTO/EXTRA]]</f>
        <v>228.42</v>
      </c>
      <c r="I630" t="s">
        <v>23</v>
      </c>
      <c r="J630" t="s">
        <v>56</v>
      </c>
      <c r="K630" t="s">
        <v>25</v>
      </c>
      <c r="L630" t="s">
        <v>16</v>
      </c>
    </row>
    <row r="631" spans="1:12">
      <c r="A631" s="3">
        <v>45527</v>
      </c>
      <c r="B631" t="s">
        <v>43</v>
      </c>
      <c r="C631" s="5">
        <v>30</v>
      </c>
      <c r="D631" s="7">
        <v>31.49</v>
      </c>
      <c r="E631" s="7">
        <f>Ventas[[#This Row],[CANTIDAD]]*Ventas[[#This Row],[PRECIO_UNIT]]</f>
        <v>944.69999999999993</v>
      </c>
      <c r="F631" s="7">
        <f>Ventas[[#This Row],[SUBTOTAL]]*0.16</f>
        <v>151.15199999999999</v>
      </c>
      <c r="G631" s="7">
        <v>-7.1999999999889042E-2</v>
      </c>
      <c r="H631" s="7">
        <f>Ventas[[#This Row],[SUBTOTAL]]+Ventas[[#This Row],[IVA]]+Ventas[[#This Row],[DESCUENTO/EXTRA]]</f>
        <v>1095.78</v>
      </c>
      <c r="I631" t="s">
        <v>18</v>
      </c>
      <c r="J631" t="s">
        <v>30</v>
      </c>
      <c r="K631" t="s">
        <v>25</v>
      </c>
      <c r="L631" t="s">
        <v>16</v>
      </c>
    </row>
    <row r="632" spans="1:12">
      <c r="A632" s="3">
        <v>45527</v>
      </c>
      <c r="B632" t="s">
        <v>46</v>
      </c>
      <c r="C632" s="5">
        <v>13</v>
      </c>
      <c r="D632" s="7">
        <v>25.71</v>
      </c>
      <c r="E632" s="7">
        <f>Ventas[[#This Row],[CANTIDAD]]*Ventas[[#This Row],[PRECIO_UNIT]]</f>
        <v>334.23</v>
      </c>
      <c r="F632" s="7">
        <f>Ventas[[#This Row],[SUBTOTAL]]*0.16</f>
        <v>53.476800000000004</v>
      </c>
      <c r="G632" s="7">
        <v>0.29319999999995616</v>
      </c>
      <c r="H632" s="7">
        <f>Ventas[[#This Row],[SUBTOTAL]]+Ventas[[#This Row],[IVA]]+Ventas[[#This Row],[DESCUENTO/EXTRA]]</f>
        <v>388</v>
      </c>
      <c r="I632" t="s">
        <v>23</v>
      </c>
      <c r="J632" t="s">
        <v>34</v>
      </c>
      <c r="K632" t="s">
        <v>15</v>
      </c>
      <c r="L632" t="s">
        <v>16</v>
      </c>
    </row>
    <row r="633" spans="1:12">
      <c r="A633" s="3">
        <v>45527</v>
      </c>
      <c r="B633" t="s">
        <v>40</v>
      </c>
      <c r="C633" s="5">
        <v>21</v>
      </c>
      <c r="D633" s="7">
        <v>34.15</v>
      </c>
      <c r="E633" s="7">
        <f>Ventas[[#This Row],[CANTIDAD]]*Ventas[[#This Row],[PRECIO_UNIT]]</f>
        <v>717.15</v>
      </c>
      <c r="F633" s="7">
        <f>Ventas[[#This Row],[SUBTOTAL]]*0.16</f>
        <v>114.744</v>
      </c>
      <c r="G633" s="7">
        <v>-1.4000000000010004E-2</v>
      </c>
      <c r="H633" s="7">
        <f>Ventas[[#This Row],[SUBTOTAL]]+Ventas[[#This Row],[IVA]]+Ventas[[#This Row],[DESCUENTO/EXTRA]]</f>
        <v>831.88</v>
      </c>
      <c r="I633" t="s">
        <v>18</v>
      </c>
      <c r="J633" t="s">
        <v>44</v>
      </c>
      <c r="K633" t="s">
        <v>15</v>
      </c>
      <c r="L633" t="s">
        <v>16</v>
      </c>
    </row>
    <row r="634" spans="1:12">
      <c r="A634" s="3">
        <v>45528</v>
      </c>
      <c r="B634" t="s">
        <v>20</v>
      </c>
      <c r="C634" s="5">
        <v>27</v>
      </c>
      <c r="D634" s="7">
        <v>12.46</v>
      </c>
      <c r="E634" s="7">
        <f>Ventas[[#This Row],[CANTIDAD]]*Ventas[[#This Row],[PRECIO_UNIT]]</f>
        <v>336.42</v>
      </c>
      <c r="F634" s="7">
        <f>Ventas[[#This Row],[SUBTOTAL]]*0.16</f>
        <v>53.827200000000005</v>
      </c>
      <c r="G634" s="7">
        <v>-6.7200000000013915E-2</v>
      </c>
      <c r="H634" s="7">
        <f>Ventas[[#This Row],[SUBTOTAL]]+Ventas[[#This Row],[IVA]]+Ventas[[#This Row],[DESCUENTO/EXTRA]]</f>
        <v>390.18</v>
      </c>
      <c r="I634" t="s">
        <v>32</v>
      </c>
      <c r="J634" t="s">
        <v>50</v>
      </c>
      <c r="K634" t="s">
        <v>25</v>
      </c>
      <c r="L634" t="s">
        <v>16</v>
      </c>
    </row>
    <row r="635" spans="1:12">
      <c r="A635" s="3">
        <v>45529</v>
      </c>
      <c r="B635" t="s">
        <v>20</v>
      </c>
      <c r="C635" s="5">
        <v>1</v>
      </c>
      <c r="D635" s="7">
        <v>12.52</v>
      </c>
      <c r="E635" s="7">
        <f>Ventas[[#This Row],[CANTIDAD]]*Ventas[[#This Row],[PRECIO_UNIT]]</f>
        <v>12.52</v>
      </c>
      <c r="F635" s="7">
        <f>Ventas[[#This Row],[SUBTOTAL]]*0.16</f>
        <v>2.0032000000000001</v>
      </c>
      <c r="G635" s="7">
        <v>6.8000000000001393E-3</v>
      </c>
      <c r="H635" s="7">
        <f>Ventas[[#This Row],[SUBTOTAL]]+Ventas[[#This Row],[IVA]]+Ventas[[#This Row],[DESCUENTO/EXTRA]]</f>
        <v>14.53</v>
      </c>
      <c r="I635" t="s">
        <v>23</v>
      </c>
      <c r="J635" t="s">
        <v>21</v>
      </c>
      <c r="K635" t="s">
        <v>25</v>
      </c>
      <c r="L635" t="s">
        <v>16</v>
      </c>
    </row>
    <row r="636" spans="1:12">
      <c r="A636" s="3">
        <v>45531</v>
      </c>
      <c r="B636" t="s">
        <v>20</v>
      </c>
      <c r="C636" s="5">
        <v>20</v>
      </c>
      <c r="D636" s="7">
        <v>10.94</v>
      </c>
      <c r="E636" s="7">
        <f>Ventas[[#This Row],[CANTIDAD]]*Ventas[[#This Row],[PRECIO_UNIT]]</f>
        <v>218.79999999999998</v>
      </c>
      <c r="F636" s="7">
        <f>Ventas[[#This Row],[SUBTOTAL]]*0.16</f>
        <v>35.007999999999996</v>
      </c>
      <c r="G636" s="7">
        <v>4.2000000000001592E-2</v>
      </c>
      <c r="H636" s="7">
        <f>Ventas[[#This Row],[SUBTOTAL]]+Ventas[[#This Row],[IVA]]+Ventas[[#This Row],[DESCUENTO/EXTRA]]</f>
        <v>253.85</v>
      </c>
      <c r="I636" t="s">
        <v>23</v>
      </c>
      <c r="J636" t="s">
        <v>42</v>
      </c>
      <c r="K636" t="s">
        <v>15</v>
      </c>
      <c r="L636" t="s">
        <v>16</v>
      </c>
    </row>
    <row r="637" spans="1:12">
      <c r="A637" s="3">
        <v>45532</v>
      </c>
      <c r="B637" t="s">
        <v>40</v>
      </c>
      <c r="C637" s="5">
        <v>29</v>
      </c>
      <c r="D637" s="7">
        <v>34.700000000000003</v>
      </c>
      <c r="E637" s="7">
        <f>Ventas[[#This Row],[CANTIDAD]]*Ventas[[#This Row],[PRECIO_UNIT]]</f>
        <v>1006.3000000000001</v>
      </c>
      <c r="F637" s="7">
        <f>Ventas[[#This Row],[SUBTOTAL]]*0.16</f>
        <v>161.00800000000001</v>
      </c>
      <c r="G637" s="7">
        <v>-0.30799999999999272</v>
      </c>
      <c r="H637" s="7">
        <f>Ventas[[#This Row],[SUBTOTAL]]+Ventas[[#This Row],[IVA]]+Ventas[[#This Row],[DESCUENTO/EXTRA]]</f>
        <v>1167</v>
      </c>
      <c r="I637" t="s">
        <v>18</v>
      </c>
      <c r="J637" t="s">
        <v>44</v>
      </c>
      <c r="K637" t="s">
        <v>25</v>
      </c>
      <c r="L637" t="s">
        <v>16</v>
      </c>
    </row>
    <row r="638" spans="1:12">
      <c r="A638" s="3">
        <v>45535</v>
      </c>
      <c r="B638" t="s">
        <v>12</v>
      </c>
      <c r="C638" s="5">
        <v>5</v>
      </c>
      <c r="D638" s="7">
        <v>57.31</v>
      </c>
      <c r="E638" s="7">
        <f>Ventas[[#This Row],[CANTIDAD]]*Ventas[[#This Row],[PRECIO_UNIT]]</f>
        <v>286.55</v>
      </c>
      <c r="F638" s="7">
        <f>Ventas[[#This Row],[SUBTOTAL]]*0.16</f>
        <v>45.848000000000006</v>
      </c>
      <c r="G638" s="7">
        <v>-0.39800000000002456</v>
      </c>
      <c r="H638" s="7">
        <f>Ventas[[#This Row],[SUBTOTAL]]+Ventas[[#This Row],[IVA]]+Ventas[[#This Row],[DESCUENTO/EXTRA]]</f>
        <v>332</v>
      </c>
      <c r="I638" t="s">
        <v>18</v>
      </c>
      <c r="J638" t="s">
        <v>54</v>
      </c>
      <c r="K638" t="s">
        <v>15</v>
      </c>
      <c r="L638" t="s">
        <v>16</v>
      </c>
    </row>
    <row r="639" spans="1:12">
      <c r="A639" s="3">
        <v>45539</v>
      </c>
      <c r="B639" t="s">
        <v>12</v>
      </c>
      <c r="C639" s="5">
        <v>18</v>
      </c>
      <c r="D639" s="7">
        <v>53</v>
      </c>
      <c r="E639" s="7">
        <f>Ventas[[#This Row],[CANTIDAD]]*Ventas[[#This Row],[PRECIO_UNIT]]</f>
        <v>954</v>
      </c>
      <c r="F639" s="7">
        <f>Ventas[[#This Row],[SUBTOTAL]]*0.16</f>
        <v>152.64000000000001</v>
      </c>
      <c r="G639" s="7">
        <v>-6.6400000000001</v>
      </c>
      <c r="H639" s="7">
        <f>Ventas[[#This Row],[SUBTOTAL]]+Ventas[[#This Row],[IVA]]+Ventas[[#This Row],[DESCUENTO/EXTRA]]</f>
        <v>1100</v>
      </c>
      <c r="I639" t="s">
        <v>18</v>
      </c>
      <c r="J639" t="s">
        <v>21</v>
      </c>
      <c r="K639" t="s">
        <v>25</v>
      </c>
      <c r="L639" t="s">
        <v>16</v>
      </c>
    </row>
    <row r="640" spans="1:12">
      <c r="A640" s="3">
        <v>45539</v>
      </c>
      <c r="B640" t="s">
        <v>43</v>
      </c>
      <c r="C640" s="5">
        <v>27</v>
      </c>
      <c r="D640" s="7">
        <v>29.8</v>
      </c>
      <c r="E640" s="7">
        <f>Ventas[[#This Row],[CANTIDAD]]*Ventas[[#This Row],[PRECIO_UNIT]]</f>
        <v>804.6</v>
      </c>
      <c r="F640" s="7">
        <f>Ventas[[#This Row],[SUBTOTAL]]*0.16</f>
        <v>128.73600000000002</v>
      </c>
      <c r="G640" s="7">
        <v>-3.6000000000058208E-2</v>
      </c>
      <c r="H640" s="7">
        <f>Ventas[[#This Row],[SUBTOTAL]]+Ventas[[#This Row],[IVA]]+Ventas[[#This Row],[DESCUENTO/EXTRA]]</f>
        <v>933.3</v>
      </c>
      <c r="I640" t="s">
        <v>13</v>
      </c>
      <c r="J640" t="s">
        <v>38</v>
      </c>
      <c r="K640" t="s">
        <v>25</v>
      </c>
      <c r="L640" t="s">
        <v>16</v>
      </c>
    </row>
    <row r="641" spans="1:12">
      <c r="A641" s="3">
        <v>45540</v>
      </c>
      <c r="B641" t="s">
        <v>37</v>
      </c>
      <c r="C641" s="5">
        <v>19</v>
      </c>
      <c r="D641" s="7">
        <v>22.1</v>
      </c>
      <c r="E641" s="7">
        <f>Ventas[[#This Row],[CANTIDAD]]*Ventas[[#This Row],[PRECIO_UNIT]]</f>
        <v>419.90000000000003</v>
      </c>
      <c r="F641" s="7">
        <f>Ventas[[#This Row],[SUBTOTAL]]*0.16</f>
        <v>67.184000000000012</v>
      </c>
      <c r="G641" s="7">
        <v>-8.4000000000060027E-2</v>
      </c>
      <c r="H641" s="7">
        <f>Ventas[[#This Row],[SUBTOTAL]]+Ventas[[#This Row],[IVA]]+Ventas[[#This Row],[DESCUENTO/EXTRA]]</f>
        <v>487</v>
      </c>
      <c r="I641" t="s">
        <v>13</v>
      </c>
      <c r="J641" t="s">
        <v>33</v>
      </c>
      <c r="K641" t="s">
        <v>15</v>
      </c>
      <c r="L641" t="s">
        <v>16</v>
      </c>
    </row>
    <row r="642" spans="1:12">
      <c r="A642" s="3">
        <v>45540</v>
      </c>
      <c r="B642" t="s">
        <v>45</v>
      </c>
      <c r="C642" s="5">
        <v>26</v>
      </c>
      <c r="D642" s="7">
        <v>45</v>
      </c>
      <c r="E642" s="7">
        <f>Ventas[[#This Row],[CANTIDAD]]*Ventas[[#This Row],[PRECIO_UNIT]]</f>
        <v>1170</v>
      </c>
      <c r="F642" s="7">
        <f>Ventas[[#This Row],[SUBTOTAL]]*0.16</f>
        <v>187.20000000000002</v>
      </c>
      <c r="G642" s="7">
        <v>1.7999999999999545</v>
      </c>
      <c r="H642" s="7">
        <f>Ventas[[#This Row],[SUBTOTAL]]+Ventas[[#This Row],[IVA]]+Ventas[[#This Row],[DESCUENTO/EXTRA]]</f>
        <v>1359</v>
      </c>
      <c r="I642" t="s">
        <v>23</v>
      </c>
      <c r="J642" t="s">
        <v>19</v>
      </c>
      <c r="K642" t="s">
        <v>15</v>
      </c>
      <c r="L642" t="s">
        <v>16</v>
      </c>
    </row>
    <row r="643" spans="1:12">
      <c r="A643" s="3">
        <v>45541</v>
      </c>
      <c r="B643" t="s">
        <v>26</v>
      </c>
      <c r="C643" s="5">
        <v>7</v>
      </c>
      <c r="D643" s="7">
        <v>44.07</v>
      </c>
      <c r="E643" s="7">
        <f>Ventas[[#This Row],[CANTIDAD]]*Ventas[[#This Row],[PRECIO_UNIT]]</f>
        <v>308.49</v>
      </c>
      <c r="F643" s="7">
        <f>Ventas[[#This Row],[SUBTOTAL]]*0.16</f>
        <v>49.358400000000003</v>
      </c>
      <c r="G643" s="7">
        <v>-2.8400000000033288E-2</v>
      </c>
      <c r="H643" s="7">
        <f>Ventas[[#This Row],[SUBTOTAL]]+Ventas[[#This Row],[IVA]]+Ventas[[#This Row],[DESCUENTO/EXTRA]]</f>
        <v>357.82</v>
      </c>
      <c r="I643" t="s">
        <v>23</v>
      </c>
      <c r="J643" t="s">
        <v>31</v>
      </c>
      <c r="K643" t="s">
        <v>25</v>
      </c>
      <c r="L643" t="s">
        <v>16</v>
      </c>
    </row>
    <row r="644" spans="1:12">
      <c r="A644" s="3">
        <v>45542</v>
      </c>
      <c r="B644" t="s">
        <v>12</v>
      </c>
      <c r="C644" s="5">
        <v>24</v>
      </c>
      <c r="D644" s="7">
        <v>60</v>
      </c>
      <c r="E644" s="7">
        <f>Ventas[[#This Row],[CANTIDAD]]*Ventas[[#This Row],[PRECIO_UNIT]]</f>
        <v>1440</v>
      </c>
      <c r="F644" s="7">
        <f>Ventas[[#This Row],[SUBTOTAL]]*0.16</f>
        <v>230.4</v>
      </c>
      <c r="G644" s="7">
        <v>11.599999999999909</v>
      </c>
      <c r="H644" s="7">
        <f>Ventas[[#This Row],[SUBTOTAL]]+Ventas[[#This Row],[IVA]]+Ventas[[#This Row],[DESCUENTO/EXTRA]]</f>
        <v>1682</v>
      </c>
      <c r="I644" t="s">
        <v>18</v>
      </c>
      <c r="J644" t="s">
        <v>44</v>
      </c>
      <c r="K644" t="s">
        <v>25</v>
      </c>
      <c r="L644" t="s">
        <v>16</v>
      </c>
    </row>
    <row r="645" spans="1:12">
      <c r="A645" s="3">
        <v>45546</v>
      </c>
      <c r="B645" t="s">
        <v>26</v>
      </c>
      <c r="C645" s="5">
        <v>26</v>
      </c>
      <c r="D645" s="7">
        <v>42.87</v>
      </c>
      <c r="E645" s="7">
        <f>Ventas[[#This Row],[CANTIDAD]]*Ventas[[#This Row],[PRECIO_UNIT]]</f>
        <v>1114.6199999999999</v>
      </c>
      <c r="F645" s="7">
        <f>Ventas[[#This Row],[SUBTOTAL]]*0.16</f>
        <v>178.33919999999998</v>
      </c>
      <c r="G645" s="7">
        <v>-0.95919999999978245</v>
      </c>
      <c r="H645" s="7">
        <f>Ventas[[#This Row],[SUBTOTAL]]+Ventas[[#This Row],[IVA]]+Ventas[[#This Row],[DESCUENTO/EXTRA]]</f>
        <v>1292</v>
      </c>
      <c r="I645" t="s">
        <v>18</v>
      </c>
      <c r="J645" t="s">
        <v>24</v>
      </c>
      <c r="K645" t="s">
        <v>15</v>
      </c>
      <c r="L645" t="s">
        <v>16</v>
      </c>
    </row>
    <row r="646" spans="1:12">
      <c r="A646" s="3">
        <v>45548</v>
      </c>
      <c r="B646" t="s">
        <v>28</v>
      </c>
      <c r="C646" s="5">
        <v>10</v>
      </c>
      <c r="D646" s="7">
        <v>84.53</v>
      </c>
      <c r="E646" s="7">
        <f>Ventas[[#This Row],[CANTIDAD]]*Ventas[[#This Row],[PRECIO_UNIT]]</f>
        <v>845.3</v>
      </c>
      <c r="F646" s="7">
        <f>Ventas[[#This Row],[SUBTOTAL]]*0.16</f>
        <v>135.24799999999999</v>
      </c>
      <c r="G646" s="7">
        <v>2.2000000000048203E-2</v>
      </c>
      <c r="H646" s="7">
        <f>Ventas[[#This Row],[SUBTOTAL]]+Ventas[[#This Row],[IVA]]+Ventas[[#This Row],[DESCUENTO/EXTRA]]</f>
        <v>980.57</v>
      </c>
      <c r="I646" t="s">
        <v>23</v>
      </c>
      <c r="J646" t="s">
        <v>33</v>
      </c>
      <c r="K646" t="s">
        <v>15</v>
      </c>
      <c r="L646" t="s">
        <v>16</v>
      </c>
    </row>
    <row r="647" spans="1:12">
      <c r="A647" s="3">
        <v>45550</v>
      </c>
      <c r="B647" t="s">
        <v>20</v>
      </c>
      <c r="C647" s="5">
        <v>5</v>
      </c>
      <c r="D647" s="7">
        <v>11.27</v>
      </c>
      <c r="E647" s="7">
        <f>Ventas[[#This Row],[CANTIDAD]]*Ventas[[#This Row],[PRECIO_UNIT]]</f>
        <v>56.349999999999994</v>
      </c>
      <c r="F647" s="7">
        <f>Ventas[[#This Row],[SUBTOTAL]]*0.16</f>
        <v>9.016</v>
      </c>
      <c r="G647" s="7">
        <v>-0.36599999999999966</v>
      </c>
      <c r="H647" s="7">
        <f>Ventas[[#This Row],[SUBTOTAL]]+Ventas[[#This Row],[IVA]]+Ventas[[#This Row],[DESCUENTO/EXTRA]]</f>
        <v>65</v>
      </c>
      <c r="I647" t="s">
        <v>13</v>
      </c>
      <c r="J647" t="s">
        <v>55</v>
      </c>
      <c r="K647" t="s">
        <v>25</v>
      </c>
      <c r="L647" t="s">
        <v>16</v>
      </c>
    </row>
    <row r="648" spans="1:12">
      <c r="A648" s="3">
        <v>45552</v>
      </c>
      <c r="B648" t="s">
        <v>28</v>
      </c>
      <c r="C648" s="5">
        <v>13</v>
      </c>
      <c r="D648" s="7">
        <v>77</v>
      </c>
      <c r="E648" s="7">
        <f>Ventas[[#This Row],[CANTIDAD]]*Ventas[[#This Row],[PRECIO_UNIT]]</f>
        <v>1001</v>
      </c>
      <c r="F648" s="7">
        <f>Ventas[[#This Row],[SUBTOTAL]]*0.16</f>
        <v>160.16</v>
      </c>
      <c r="G648" s="7">
        <v>6.4700000000000273</v>
      </c>
      <c r="H648" s="7">
        <f>Ventas[[#This Row],[SUBTOTAL]]+Ventas[[#This Row],[IVA]]+Ventas[[#This Row],[DESCUENTO/EXTRA]]</f>
        <v>1167.6300000000001</v>
      </c>
      <c r="I648" t="s">
        <v>18</v>
      </c>
      <c r="J648" t="s">
        <v>52</v>
      </c>
      <c r="K648" t="s">
        <v>25</v>
      </c>
      <c r="L648" t="s">
        <v>16</v>
      </c>
    </row>
    <row r="649" spans="1:12">
      <c r="A649" s="3">
        <v>45553</v>
      </c>
      <c r="B649" t="s">
        <v>37</v>
      </c>
      <c r="C649" s="5">
        <v>14</v>
      </c>
      <c r="D649" s="7">
        <v>22.86</v>
      </c>
      <c r="E649" s="7">
        <f>Ventas[[#This Row],[CANTIDAD]]*Ventas[[#This Row],[PRECIO_UNIT]]</f>
        <v>320.03999999999996</v>
      </c>
      <c r="F649" s="7">
        <f>Ventas[[#This Row],[SUBTOTAL]]*0.16</f>
        <v>51.206399999999995</v>
      </c>
      <c r="G649" s="7">
        <v>-3.6399999999957799E-2</v>
      </c>
      <c r="H649" s="7">
        <f>Ventas[[#This Row],[SUBTOTAL]]+Ventas[[#This Row],[IVA]]+Ventas[[#This Row],[DESCUENTO/EXTRA]]</f>
        <v>371.21</v>
      </c>
      <c r="I649" t="s">
        <v>18</v>
      </c>
      <c r="J649" t="s">
        <v>42</v>
      </c>
      <c r="K649" t="s">
        <v>15</v>
      </c>
      <c r="L649" t="s">
        <v>16</v>
      </c>
    </row>
    <row r="650" spans="1:12">
      <c r="A650" s="3">
        <v>45554</v>
      </c>
      <c r="B650" t="s">
        <v>35</v>
      </c>
      <c r="C650" s="5">
        <v>3</v>
      </c>
      <c r="D650" s="7">
        <v>25.91</v>
      </c>
      <c r="E650" s="7">
        <f>Ventas[[#This Row],[CANTIDAD]]*Ventas[[#This Row],[PRECIO_UNIT]]</f>
        <v>77.73</v>
      </c>
      <c r="F650" s="7">
        <f>Ventas[[#This Row],[SUBTOTAL]]*0.16</f>
        <v>12.436800000000002</v>
      </c>
      <c r="G650" s="7">
        <v>-0.16680000000000916</v>
      </c>
      <c r="H650" s="7">
        <f>Ventas[[#This Row],[SUBTOTAL]]+Ventas[[#This Row],[IVA]]+Ventas[[#This Row],[DESCUENTO/EXTRA]]</f>
        <v>90</v>
      </c>
      <c r="I650" t="s">
        <v>32</v>
      </c>
      <c r="J650" t="s">
        <v>48</v>
      </c>
      <c r="K650" t="s">
        <v>15</v>
      </c>
      <c r="L650" t="s">
        <v>16</v>
      </c>
    </row>
    <row r="651" spans="1:12">
      <c r="A651" s="3">
        <v>45554</v>
      </c>
      <c r="B651" t="s">
        <v>35</v>
      </c>
      <c r="C651" s="5">
        <v>8</v>
      </c>
      <c r="D651" s="7">
        <v>25.83</v>
      </c>
      <c r="E651" s="7">
        <f>Ventas[[#This Row],[CANTIDAD]]*Ventas[[#This Row],[PRECIO_UNIT]]</f>
        <v>206.64</v>
      </c>
      <c r="F651" s="7">
        <f>Ventas[[#This Row],[SUBTOTAL]]*0.16</f>
        <v>33.062399999999997</v>
      </c>
      <c r="G651" s="7">
        <v>-0.70239999999998304</v>
      </c>
      <c r="H651" s="7">
        <f>Ventas[[#This Row],[SUBTOTAL]]+Ventas[[#This Row],[IVA]]+Ventas[[#This Row],[DESCUENTO/EXTRA]]</f>
        <v>239</v>
      </c>
      <c r="I651" t="s">
        <v>32</v>
      </c>
      <c r="J651" t="s">
        <v>42</v>
      </c>
      <c r="K651" t="s">
        <v>25</v>
      </c>
      <c r="L651" t="s">
        <v>16</v>
      </c>
    </row>
    <row r="652" spans="1:12">
      <c r="A652" s="3">
        <v>45556</v>
      </c>
      <c r="B652" t="s">
        <v>46</v>
      </c>
      <c r="C652" s="5">
        <v>7</v>
      </c>
      <c r="D652" s="7">
        <v>26.18</v>
      </c>
      <c r="E652" s="7">
        <f>Ventas[[#This Row],[CANTIDAD]]*Ventas[[#This Row],[PRECIO_UNIT]]</f>
        <v>183.26</v>
      </c>
      <c r="F652" s="7">
        <f>Ventas[[#This Row],[SUBTOTAL]]*0.16</f>
        <v>29.3216</v>
      </c>
      <c r="G652" s="7">
        <v>-2.1599999999978081E-2</v>
      </c>
      <c r="H652" s="7">
        <f>Ventas[[#This Row],[SUBTOTAL]]+Ventas[[#This Row],[IVA]]+Ventas[[#This Row],[DESCUENTO/EXTRA]]</f>
        <v>212.56</v>
      </c>
      <c r="I652" t="s">
        <v>18</v>
      </c>
      <c r="J652" t="s">
        <v>48</v>
      </c>
      <c r="K652" t="s">
        <v>15</v>
      </c>
      <c r="L652" t="s">
        <v>16</v>
      </c>
    </row>
    <row r="653" spans="1:12">
      <c r="A653" s="3">
        <v>45556</v>
      </c>
      <c r="B653" t="s">
        <v>26</v>
      </c>
      <c r="C653" s="5">
        <v>3</v>
      </c>
      <c r="D653" s="7">
        <v>40.71</v>
      </c>
      <c r="E653" s="7">
        <f>Ventas[[#This Row],[CANTIDAD]]*Ventas[[#This Row],[PRECIO_UNIT]]</f>
        <v>122.13</v>
      </c>
      <c r="F653" s="7">
        <f>Ventas[[#This Row],[SUBTOTAL]]*0.16</f>
        <v>19.540800000000001</v>
      </c>
      <c r="G653" s="7">
        <v>-2.0799999999979946E-2</v>
      </c>
      <c r="H653" s="7">
        <f>Ventas[[#This Row],[SUBTOTAL]]+Ventas[[#This Row],[IVA]]+Ventas[[#This Row],[DESCUENTO/EXTRA]]</f>
        <v>141.65</v>
      </c>
      <c r="I653" t="s">
        <v>13</v>
      </c>
      <c r="J653" t="s">
        <v>34</v>
      </c>
      <c r="K653" t="s">
        <v>15</v>
      </c>
      <c r="L653" t="s">
        <v>16</v>
      </c>
    </row>
    <row r="654" spans="1:12">
      <c r="A654" s="3">
        <v>45559</v>
      </c>
      <c r="B654" t="s">
        <v>37</v>
      </c>
      <c r="C654" s="5">
        <v>4</v>
      </c>
      <c r="D654" s="7">
        <v>23.35</v>
      </c>
      <c r="E654" s="7">
        <f>Ventas[[#This Row],[CANTIDAD]]*Ventas[[#This Row],[PRECIO_UNIT]]</f>
        <v>93.4</v>
      </c>
      <c r="F654" s="7">
        <f>Ventas[[#This Row],[SUBTOTAL]]*0.16</f>
        <v>14.944000000000001</v>
      </c>
      <c r="G654" s="7">
        <v>-1.4000000000010004E-2</v>
      </c>
      <c r="H654" s="7">
        <f>Ventas[[#This Row],[SUBTOTAL]]+Ventas[[#This Row],[IVA]]+Ventas[[#This Row],[DESCUENTO/EXTRA]]</f>
        <v>108.33</v>
      </c>
      <c r="I654" t="s">
        <v>32</v>
      </c>
      <c r="J654" t="s">
        <v>36</v>
      </c>
      <c r="K654" t="s">
        <v>25</v>
      </c>
      <c r="L654" t="s">
        <v>16</v>
      </c>
    </row>
    <row r="655" spans="1:12">
      <c r="A655" s="3">
        <v>45559</v>
      </c>
      <c r="B655" t="s">
        <v>22</v>
      </c>
      <c r="C655" s="5">
        <v>17</v>
      </c>
      <c r="D655" s="7">
        <v>21.61</v>
      </c>
      <c r="E655" s="7">
        <f>Ventas[[#This Row],[CANTIDAD]]*Ventas[[#This Row],[PRECIO_UNIT]]</f>
        <v>367.37</v>
      </c>
      <c r="F655" s="7">
        <f>Ventas[[#This Row],[SUBTOTAL]]*0.16</f>
        <v>58.779200000000003</v>
      </c>
      <c r="G655" s="7">
        <v>-0.14920000000000755</v>
      </c>
      <c r="H655" s="7">
        <f>Ventas[[#This Row],[SUBTOTAL]]+Ventas[[#This Row],[IVA]]+Ventas[[#This Row],[DESCUENTO/EXTRA]]</f>
        <v>426</v>
      </c>
      <c r="I655" t="s">
        <v>18</v>
      </c>
      <c r="J655" t="s">
        <v>52</v>
      </c>
      <c r="K655" t="s">
        <v>15</v>
      </c>
      <c r="L655" t="s">
        <v>16</v>
      </c>
    </row>
    <row r="656" spans="1:12">
      <c r="A656" s="3">
        <v>45559</v>
      </c>
      <c r="B656" t="s">
        <v>43</v>
      </c>
      <c r="C656" s="5">
        <v>23</v>
      </c>
      <c r="D656" s="7">
        <v>31</v>
      </c>
      <c r="E656" s="7">
        <f>Ventas[[#This Row],[CANTIDAD]]*Ventas[[#This Row],[PRECIO_UNIT]]</f>
        <v>713</v>
      </c>
      <c r="F656" s="7">
        <f>Ventas[[#This Row],[SUBTOTAL]]*0.16</f>
        <v>114.08</v>
      </c>
      <c r="G656" s="7">
        <v>-12.020000000000095</v>
      </c>
      <c r="H656" s="7">
        <f>Ventas[[#This Row],[SUBTOTAL]]+Ventas[[#This Row],[IVA]]+Ventas[[#This Row],[DESCUENTO/EXTRA]]</f>
        <v>815.06</v>
      </c>
      <c r="I656" t="s">
        <v>18</v>
      </c>
      <c r="J656" t="s">
        <v>19</v>
      </c>
      <c r="K656" t="s">
        <v>15</v>
      </c>
      <c r="L656" t="s">
        <v>16</v>
      </c>
    </row>
    <row r="657" spans="1:12">
      <c r="A657" s="3">
        <v>45560</v>
      </c>
      <c r="B657" t="s">
        <v>35</v>
      </c>
      <c r="C657" s="5">
        <v>1</v>
      </c>
      <c r="D657" s="7">
        <v>26</v>
      </c>
      <c r="E657" s="7">
        <f>Ventas[[#This Row],[CANTIDAD]]*Ventas[[#This Row],[PRECIO_UNIT]]</f>
        <v>26</v>
      </c>
      <c r="F657" s="7">
        <f>Ventas[[#This Row],[SUBTOTAL]]*0.16</f>
        <v>4.16</v>
      </c>
      <c r="G657" s="7">
        <v>-0.16000000000000014</v>
      </c>
      <c r="H657" s="7">
        <f>Ventas[[#This Row],[SUBTOTAL]]+Ventas[[#This Row],[IVA]]+Ventas[[#This Row],[DESCUENTO/EXTRA]]</f>
        <v>30</v>
      </c>
      <c r="I657" t="s">
        <v>18</v>
      </c>
      <c r="J657" t="s">
        <v>54</v>
      </c>
      <c r="K657" t="s">
        <v>15</v>
      </c>
      <c r="L657" t="s">
        <v>16</v>
      </c>
    </row>
    <row r="658" spans="1:12">
      <c r="A658" s="3">
        <v>45561</v>
      </c>
      <c r="B658" t="s">
        <v>20</v>
      </c>
      <c r="C658" s="5">
        <v>12</v>
      </c>
      <c r="D658" s="7">
        <v>12.16</v>
      </c>
      <c r="E658" s="7">
        <f>Ventas[[#This Row],[CANTIDAD]]*Ventas[[#This Row],[PRECIO_UNIT]]</f>
        <v>145.92000000000002</v>
      </c>
      <c r="F658" s="7">
        <f>Ventas[[#This Row],[SUBTOTAL]]*0.16</f>
        <v>23.347200000000004</v>
      </c>
      <c r="G658" s="7">
        <v>4.2799999999971305E-2</v>
      </c>
      <c r="H658" s="7">
        <f>Ventas[[#This Row],[SUBTOTAL]]+Ventas[[#This Row],[IVA]]+Ventas[[#This Row],[DESCUENTO/EXTRA]]</f>
        <v>169.31</v>
      </c>
      <c r="I658" t="s">
        <v>32</v>
      </c>
      <c r="J658" t="s">
        <v>27</v>
      </c>
      <c r="K658" t="s">
        <v>25</v>
      </c>
      <c r="L658" t="s">
        <v>16</v>
      </c>
    </row>
    <row r="659" spans="1:12">
      <c r="A659" s="3">
        <v>45562</v>
      </c>
      <c r="B659" t="s">
        <v>45</v>
      </c>
      <c r="C659" s="5">
        <v>10</v>
      </c>
      <c r="D659" s="7">
        <v>44.51</v>
      </c>
      <c r="E659" s="7">
        <f>Ventas[[#This Row],[CANTIDAD]]*Ventas[[#This Row],[PRECIO_UNIT]]</f>
        <v>445.09999999999997</v>
      </c>
      <c r="F659" s="7">
        <f>Ventas[[#This Row],[SUBTOTAL]]*0.16</f>
        <v>71.215999999999994</v>
      </c>
      <c r="G659" s="7">
        <v>-1.5999999999962711E-2</v>
      </c>
      <c r="H659" s="7">
        <f>Ventas[[#This Row],[SUBTOTAL]]+Ventas[[#This Row],[IVA]]+Ventas[[#This Row],[DESCUENTO/EXTRA]]</f>
        <v>516.29999999999995</v>
      </c>
      <c r="I659" t="s">
        <v>18</v>
      </c>
      <c r="J659" t="s">
        <v>55</v>
      </c>
      <c r="K659" t="s">
        <v>15</v>
      </c>
      <c r="L659" t="s">
        <v>16</v>
      </c>
    </row>
    <row r="660" spans="1:12">
      <c r="A660" s="3">
        <v>45562</v>
      </c>
      <c r="B660" t="s">
        <v>45</v>
      </c>
      <c r="C660" s="5">
        <v>8</v>
      </c>
      <c r="D660" s="7">
        <v>43.51</v>
      </c>
      <c r="E660" s="7">
        <f>Ventas[[#This Row],[CANTIDAD]]*Ventas[[#This Row],[PRECIO_UNIT]]</f>
        <v>348.08</v>
      </c>
      <c r="F660" s="7">
        <f>Ventas[[#This Row],[SUBTOTAL]]*0.16</f>
        <v>55.692799999999998</v>
      </c>
      <c r="G660" s="7">
        <v>7.2000000000116415E-3</v>
      </c>
      <c r="H660" s="7">
        <f>Ventas[[#This Row],[SUBTOTAL]]+Ventas[[#This Row],[IVA]]+Ventas[[#This Row],[DESCUENTO/EXTRA]]</f>
        <v>403.78</v>
      </c>
      <c r="I660" t="s">
        <v>23</v>
      </c>
      <c r="J660" t="s">
        <v>21</v>
      </c>
      <c r="K660" t="s">
        <v>15</v>
      </c>
      <c r="L660" t="s">
        <v>16</v>
      </c>
    </row>
    <row r="661" spans="1:12">
      <c r="A661" s="3">
        <v>45563</v>
      </c>
      <c r="B661" t="s">
        <v>12</v>
      </c>
      <c r="C661" s="5">
        <v>6</v>
      </c>
      <c r="D661" s="7">
        <v>56</v>
      </c>
      <c r="E661" s="7">
        <f>Ventas[[#This Row],[CANTIDAD]]*Ventas[[#This Row],[PRECIO_UNIT]]</f>
        <v>336</v>
      </c>
      <c r="F661" s="7">
        <f>Ventas[[#This Row],[SUBTOTAL]]*0.16</f>
        <v>53.76</v>
      </c>
      <c r="G661" s="7">
        <v>0.31000000000000227</v>
      </c>
      <c r="H661" s="7">
        <f>Ventas[[#This Row],[SUBTOTAL]]+Ventas[[#This Row],[IVA]]+Ventas[[#This Row],[DESCUENTO/EXTRA]]</f>
        <v>390.07</v>
      </c>
      <c r="I661" t="s">
        <v>13</v>
      </c>
      <c r="J661" t="s">
        <v>48</v>
      </c>
      <c r="K661" t="s">
        <v>15</v>
      </c>
      <c r="L661" t="s">
        <v>16</v>
      </c>
    </row>
    <row r="662" spans="1:12">
      <c r="A662" s="3">
        <v>45563</v>
      </c>
      <c r="B662" t="s">
        <v>37</v>
      </c>
      <c r="C662" s="5">
        <v>11</v>
      </c>
      <c r="D662" s="7">
        <v>22.69</v>
      </c>
      <c r="E662" s="7">
        <f>Ventas[[#This Row],[CANTIDAD]]*Ventas[[#This Row],[PRECIO_UNIT]]</f>
        <v>249.59</v>
      </c>
      <c r="F662" s="7">
        <f>Ventas[[#This Row],[SUBTOTAL]]*0.16</f>
        <v>39.934400000000004</v>
      </c>
      <c r="G662" s="7">
        <v>5.5599999999969896E-2</v>
      </c>
      <c r="H662" s="7">
        <f>Ventas[[#This Row],[SUBTOTAL]]+Ventas[[#This Row],[IVA]]+Ventas[[#This Row],[DESCUENTO/EXTRA]]</f>
        <v>289.58</v>
      </c>
      <c r="I662" t="s">
        <v>23</v>
      </c>
      <c r="J662" t="s">
        <v>48</v>
      </c>
      <c r="K662" t="s">
        <v>25</v>
      </c>
      <c r="L662" t="s">
        <v>16</v>
      </c>
    </row>
    <row r="663" spans="1:12">
      <c r="A663" s="3">
        <v>45564</v>
      </c>
      <c r="B663" t="s">
        <v>26</v>
      </c>
      <c r="C663" s="5">
        <v>17</v>
      </c>
      <c r="D663" s="7">
        <v>38.090000000000003</v>
      </c>
      <c r="E663" s="7">
        <f>Ventas[[#This Row],[CANTIDAD]]*Ventas[[#This Row],[PRECIO_UNIT]]</f>
        <v>647.53000000000009</v>
      </c>
      <c r="F663" s="7">
        <f>Ventas[[#This Row],[SUBTOTAL]]*0.16</f>
        <v>103.60480000000001</v>
      </c>
      <c r="G663" s="7">
        <v>8.5199999999986176E-2</v>
      </c>
      <c r="H663" s="7">
        <f>Ventas[[#This Row],[SUBTOTAL]]+Ventas[[#This Row],[IVA]]+Ventas[[#This Row],[DESCUENTO/EXTRA]]</f>
        <v>751.22</v>
      </c>
      <c r="I663" t="s">
        <v>23</v>
      </c>
      <c r="J663" t="s">
        <v>52</v>
      </c>
      <c r="K663" t="s">
        <v>15</v>
      </c>
      <c r="L663" t="s">
        <v>16</v>
      </c>
    </row>
    <row r="664" spans="1:12">
      <c r="A664" s="3">
        <v>45567</v>
      </c>
      <c r="B664" t="s">
        <v>43</v>
      </c>
      <c r="C664" s="5">
        <v>14</v>
      </c>
      <c r="D664" s="7">
        <v>29</v>
      </c>
      <c r="E664" s="7">
        <f>Ventas[[#This Row],[CANTIDAD]]*Ventas[[#This Row],[PRECIO_UNIT]]</f>
        <v>406</v>
      </c>
      <c r="F664" s="7">
        <f>Ventas[[#This Row],[SUBTOTAL]]*0.16</f>
        <v>64.960000000000008</v>
      </c>
      <c r="G664" s="7">
        <v>0.28999999999996362</v>
      </c>
      <c r="H664" s="7">
        <f>Ventas[[#This Row],[SUBTOTAL]]+Ventas[[#This Row],[IVA]]+Ventas[[#This Row],[DESCUENTO/EXTRA]]</f>
        <v>471.25</v>
      </c>
      <c r="I664" t="s">
        <v>32</v>
      </c>
      <c r="J664" t="s">
        <v>55</v>
      </c>
      <c r="K664" t="s">
        <v>25</v>
      </c>
      <c r="L664" t="s">
        <v>16</v>
      </c>
    </row>
    <row r="665" spans="1:12">
      <c r="A665" s="3">
        <v>45571</v>
      </c>
      <c r="B665" t="s">
        <v>37</v>
      </c>
      <c r="C665" s="5">
        <v>9</v>
      </c>
      <c r="D665" s="7">
        <v>23.45</v>
      </c>
      <c r="E665" s="7">
        <f>Ventas[[#This Row],[CANTIDAD]]*Ventas[[#This Row],[PRECIO_UNIT]]</f>
        <v>211.04999999999998</v>
      </c>
      <c r="F665" s="7">
        <f>Ventas[[#This Row],[SUBTOTAL]]*0.16</f>
        <v>33.768000000000001</v>
      </c>
      <c r="G665" s="7">
        <v>4.2000000000030013E-2</v>
      </c>
      <c r="H665" s="7">
        <f>Ventas[[#This Row],[SUBTOTAL]]+Ventas[[#This Row],[IVA]]+Ventas[[#This Row],[DESCUENTO/EXTRA]]</f>
        <v>244.86</v>
      </c>
      <c r="I665" t="s">
        <v>23</v>
      </c>
      <c r="J665" t="s">
        <v>56</v>
      </c>
      <c r="K665" t="s">
        <v>15</v>
      </c>
      <c r="L665" t="s">
        <v>16</v>
      </c>
    </row>
    <row r="666" spans="1:12">
      <c r="A666" s="3">
        <v>45571</v>
      </c>
      <c r="B666" t="s">
        <v>28</v>
      </c>
      <c r="C666" s="5">
        <v>3</v>
      </c>
      <c r="D666" s="7">
        <v>82</v>
      </c>
      <c r="E666" s="7">
        <f>Ventas[[#This Row],[CANTIDAD]]*Ventas[[#This Row],[PRECIO_UNIT]]</f>
        <v>246</v>
      </c>
      <c r="F666" s="7">
        <f>Ventas[[#This Row],[SUBTOTAL]]*0.16</f>
        <v>39.36</v>
      </c>
      <c r="G666" s="7">
        <v>1.4099999999999682</v>
      </c>
      <c r="H666" s="7">
        <f>Ventas[[#This Row],[SUBTOTAL]]+Ventas[[#This Row],[IVA]]+Ventas[[#This Row],[DESCUENTO/EXTRA]]</f>
        <v>286.77</v>
      </c>
      <c r="I666" t="s">
        <v>18</v>
      </c>
      <c r="J666" t="s">
        <v>44</v>
      </c>
      <c r="K666" t="s">
        <v>15</v>
      </c>
      <c r="L666" t="s">
        <v>16</v>
      </c>
    </row>
    <row r="667" spans="1:12">
      <c r="A667" s="3">
        <v>45574</v>
      </c>
      <c r="B667" t="s">
        <v>45</v>
      </c>
      <c r="C667" s="5">
        <v>7</v>
      </c>
      <c r="D667" s="7">
        <v>46.31</v>
      </c>
      <c r="E667" s="7">
        <f>Ventas[[#This Row],[CANTIDAD]]*Ventas[[#This Row],[PRECIO_UNIT]]</f>
        <v>324.17</v>
      </c>
      <c r="F667" s="7">
        <f>Ventas[[#This Row],[SUBTOTAL]]*0.16</f>
        <v>51.867200000000004</v>
      </c>
      <c r="G667" s="7">
        <v>-3.72000000000412E-2</v>
      </c>
      <c r="H667" s="7">
        <f>Ventas[[#This Row],[SUBTOTAL]]+Ventas[[#This Row],[IVA]]+Ventas[[#This Row],[DESCUENTO/EXTRA]]</f>
        <v>376</v>
      </c>
      <c r="I667" t="s">
        <v>23</v>
      </c>
      <c r="J667" t="s">
        <v>48</v>
      </c>
      <c r="K667" t="s">
        <v>15</v>
      </c>
      <c r="L667" t="s">
        <v>16</v>
      </c>
    </row>
    <row r="668" spans="1:12">
      <c r="A668" s="3">
        <v>45575</v>
      </c>
      <c r="B668" t="s">
        <v>26</v>
      </c>
      <c r="C668" s="5">
        <v>10</v>
      </c>
      <c r="D668" s="7">
        <v>38</v>
      </c>
      <c r="E668" s="7">
        <f>Ventas[[#This Row],[CANTIDAD]]*Ventas[[#This Row],[PRECIO_UNIT]]</f>
        <v>380</v>
      </c>
      <c r="F668" s="7">
        <f>Ventas[[#This Row],[SUBTOTAL]]*0.16</f>
        <v>60.800000000000004</v>
      </c>
      <c r="G668" s="7">
        <v>5.339999999999975</v>
      </c>
      <c r="H668" s="7">
        <f>Ventas[[#This Row],[SUBTOTAL]]+Ventas[[#This Row],[IVA]]+Ventas[[#This Row],[DESCUENTO/EXTRA]]</f>
        <v>446.14</v>
      </c>
      <c r="I668" t="s">
        <v>13</v>
      </c>
      <c r="J668" t="s">
        <v>31</v>
      </c>
      <c r="K668" t="s">
        <v>25</v>
      </c>
      <c r="L668" t="s">
        <v>16</v>
      </c>
    </row>
    <row r="669" spans="1:12">
      <c r="A669" s="3">
        <v>45581</v>
      </c>
      <c r="B669" t="s">
        <v>20</v>
      </c>
      <c r="C669" s="5">
        <v>29</v>
      </c>
      <c r="D669" s="7">
        <v>10.92</v>
      </c>
      <c r="E669" s="7">
        <f>Ventas[[#This Row],[CANTIDAD]]*Ventas[[#This Row],[PRECIO_UNIT]]</f>
        <v>316.68</v>
      </c>
      <c r="F669" s="7">
        <f>Ventas[[#This Row],[SUBTOTAL]]*0.16</f>
        <v>50.668800000000005</v>
      </c>
      <c r="G669" s="7">
        <v>-0.3487999999999829</v>
      </c>
      <c r="H669" s="7">
        <f>Ventas[[#This Row],[SUBTOTAL]]+Ventas[[#This Row],[IVA]]+Ventas[[#This Row],[DESCUENTO/EXTRA]]</f>
        <v>367</v>
      </c>
      <c r="I669" t="s">
        <v>13</v>
      </c>
      <c r="J669" t="s">
        <v>49</v>
      </c>
      <c r="K669" t="s">
        <v>25</v>
      </c>
      <c r="L669" t="s">
        <v>16</v>
      </c>
    </row>
    <row r="670" spans="1:12">
      <c r="A670" s="3">
        <v>45583</v>
      </c>
      <c r="B670" t="s">
        <v>28</v>
      </c>
      <c r="C670" s="5">
        <v>20</v>
      </c>
      <c r="D670" s="7">
        <v>85.55</v>
      </c>
      <c r="E670" s="7">
        <f>Ventas[[#This Row],[CANTIDAD]]*Ventas[[#This Row],[PRECIO_UNIT]]</f>
        <v>1711</v>
      </c>
      <c r="F670" s="7">
        <f>Ventas[[#This Row],[SUBTOTAL]]*0.16</f>
        <v>273.76</v>
      </c>
      <c r="G670" s="7">
        <v>-8.9999999999918145E-2</v>
      </c>
      <c r="H670" s="7">
        <f>Ventas[[#This Row],[SUBTOTAL]]+Ventas[[#This Row],[IVA]]+Ventas[[#This Row],[DESCUENTO/EXTRA]]</f>
        <v>1984.67</v>
      </c>
      <c r="I670" t="s">
        <v>18</v>
      </c>
      <c r="J670" t="s">
        <v>50</v>
      </c>
      <c r="K670" t="s">
        <v>15</v>
      </c>
      <c r="L670" t="s">
        <v>16</v>
      </c>
    </row>
    <row r="671" spans="1:12">
      <c r="A671" s="3">
        <v>45584</v>
      </c>
      <c r="B671" t="s">
        <v>45</v>
      </c>
      <c r="C671" s="5">
        <v>27</v>
      </c>
      <c r="D671" s="7">
        <v>47.5</v>
      </c>
      <c r="E671" s="7">
        <f>Ventas[[#This Row],[CANTIDAD]]*Ventas[[#This Row],[PRECIO_UNIT]]</f>
        <v>1282.5</v>
      </c>
      <c r="F671" s="7">
        <f>Ventas[[#This Row],[SUBTOTAL]]*0.16</f>
        <v>205.20000000000002</v>
      </c>
      <c r="G671" s="7">
        <v>0.10999999999989996</v>
      </c>
      <c r="H671" s="7">
        <f>Ventas[[#This Row],[SUBTOTAL]]+Ventas[[#This Row],[IVA]]+Ventas[[#This Row],[DESCUENTO/EXTRA]]</f>
        <v>1487.81</v>
      </c>
      <c r="I671" t="s">
        <v>41</v>
      </c>
      <c r="J671" t="s">
        <v>19</v>
      </c>
      <c r="K671" t="s">
        <v>15</v>
      </c>
      <c r="L671" t="s">
        <v>16</v>
      </c>
    </row>
    <row r="672" spans="1:12">
      <c r="A672" s="3">
        <v>45585</v>
      </c>
      <c r="B672" t="s">
        <v>45</v>
      </c>
      <c r="C672" s="5">
        <v>7</v>
      </c>
      <c r="D672" s="7">
        <v>44</v>
      </c>
      <c r="E672" s="7">
        <f>Ventas[[#This Row],[CANTIDAD]]*Ventas[[#This Row],[PRECIO_UNIT]]</f>
        <v>308</v>
      </c>
      <c r="F672" s="7">
        <f>Ventas[[#This Row],[SUBTOTAL]]*0.16</f>
        <v>49.28</v>
      </c>
      <c r="G672" s="7">
        <v>-3.2799999999999727</v>
      </c>
      <c r="H672" s="7">
        <f>Ventas[[#This Row],[SUBTOTAL]]+Ventas[[#This Row],[IVA]]+Ventas[[#This Row],[DESCUENTO/EXTRA]]</f>
        <v>354</v>
      </c>
      <c r="I672" t="s">
        <v>18</v>
      </c>
      <c r="J672" t="s">
        <v>48</v>
      </c>
      <c r="K672" t="s">
        <v>25</v>
      </c>
      <c r="L672" t="s">
        <v>16</v>
      </c>
    </row>
    <row r="673" spans="1:12">
      <c r="A673" s="3">
        <v>45586</v>
      </c>
      <c r="B673" t="s">
        <v>17</v>
      </c>
      <c r="C673" s="5">
        <v>11</v>
      </c>
      <c r="D673" s="7">
        <v>34</v>
      </c>
      <c r="E673" s="7">
        <f>Ventas[[#This Row],[CANTIDAD]]*Ventas[[#This Row],[PRECIO_UNIT]]</f>
        <v>374</v>
      </c>
      <c r="F673" s="7">
        <f>Ventas[[#This Row],[SUBTOTAL]]*0.16</f>
        <v>59.84</v>
      </c>
      <c r="G673" s="7">
        <v>6.8199999999999932</v>
      </c>
      <c r="H673" s="7">
        <f>Ventas[[#This Row],[SUBTOTAL]]+Ventas[[#This Row],[IVA]]+Ventas[[#This Row],[DESCUENTO/EXTRA]]</f>
        <v>440.66</v>
      </c>
      <c r="I673" t="s">
        <v>13</v>
      </c>
      <c r="J673" t="s">
        <v>50</v>
      </c>
      <c r="K673" t="s">
        <v>25</v>
      </c>
      <c r="L673" t="s">
        <v>16</v>
      </c>
    </row>
    <row r="674" spans="1:12">
      <c r="A674" s="3">
        <v>45586</v>
      </c>
      <c r="B674" t="s">
        <v>28</v>
      </c>
      <c r="C674" s="5">
        <v>7</v>
      </c>
      <c r="D674" s="7">
        <v>80</v>
      </c>
      <c r="E674" s="7">
        <f>Ventas[[#This Row],[CANTIDAD]]*Ventas[[#This Row],[PRECIO_UNIT]]</f>
        <v>560</v>
      </c>
      <c r="F674" s="7">
        <f>Ventas[[#This Row],[SUBTOTAL]]*0.16</f>
        <v>89.600000000000009</v>
      </c>
      <c r="G674" s="7">
        <v>-3.6000000000000227</v>
      </c>
      <c r="H674" s="7">
        <f>Ventas[[#This Row],[SUBTOTAL]]+Ventas[[#This Row],[IVA]]+Ventas[[#This Row],[DESCUENTO/EXTRA]]</f>
        <v>646</v>
      </c>
      <c r="I674" t="s">
        <v>32</v>
      </c>
      <c r="J674" t="s">
        <v>51</v>
      </c>
      <c r="K674" t="s">
        <v>15</v>
      </c>
      <c r="L674" t="s">
        <v>16</v>
      </c>
    </row>
    <row r="675" spans="1:12">
      <c r="A675" s="3">
        <v>45591</v>
      </c>
      <c r="B675" t="s">
        <v>45</v>
      </c>
      <c r="C675" s="5">
        <v>20</v>
      </c>
      <c r="D675" s="7">
        <v>45</v>
      </c>
      <c r="E675" s="7">
        <f>Ventas[[#This Row],[CANTIDAD]]*Ventas[[#This Row],[PRECIO_UNIT]]</f>
        <v>900</v>
      </c>
      <c r="F675" s="7">
        <f>Ventas[[#This Row],[SUBTOTAL]]*0.16</f>
        <v>144</v>
      </c>
      <c r="G675" s="7">
        <v>7.3199999999999363</v>
      </c>
      <c r="H675" s="7">
        <f>Ventas[[#This Row],[SUBTOTAL]]+Ventas[[#This Row],[IVA]]+Ventas[[#This Row],[DESCUENTO/EXTRA]]</f>
        <v>1051.32</v>
      </c>
      <c r="I675" t="s">
        <v>23</v>
      </c>
      <c r="J675" t="s">
        <v>54</v>
      </c>
      <c r="K675" t="s">
        <v>15</v>
      </c>
      <c r="L675" t="s">
        <v>16</v>
      </c>
    </row>
    <row r="676" spans="1:12">
      <c r="A676" s="3">
        <v>45591</v>
      </c>
      <c r="B676" t="s">
        <v>12</v>
      </c>
      <c r="C676" s="5">
        <v>3</v>
      </c>
      <c r="D676" s="7">
        <v>58.82</v>
      </c>
      <c r="E676" s="7">
        <f>Ventas[[#This Row],[CANTIDAD]]*Ventas[[#This Row],[PRECIO_UNIT]]</f>
        <v>176.46</v>
      </c>
      <c r="F676" s="7">
        <f>Ventas[[#This Row],[SUBTOTAL]]*0.16</f>
        <v>28.233600000000003</v>
      </c>
      <c r="G676" s="7">
        <v>0.30639999999999645</v>
      </c>
      <c r="H676" s="7">
        <f>Ventas[[#This Row],[SUBTOTAL]]+Ventas[[#This Row],[IVA]]+Ventas[[#This Row],[DESCUENTO/EXTRA]]</f>
        <v>205</v>
      </c>
      <c r="I676" t="s">
        <v>13</v>
      </c>
      <c r="J676" t="s">
        <v>47</v>
      </c>
      <c r="K676" t="s">
        <v>15</v>
      </c>
      <c r="L676" t="s">
        <v>16</v>
      </c>
    </row>
    <row r="677" spans="1:12">
      <c r="A677" s="3">
        <v>45593</v>
      </c>
      <c r="B677" t="s">
        <v>20</v>
      </c>
      <c r="C677" s="5">
        <v>17</v>
      </c>
      <c r="D677" s="7">
        <v>11.78</v>
      </c>
      <c r="E677" s="7">
        <f>Ventas[[#This Row],[CANTIDAD]]*Ventas[[#This Row],[PRECIO_UNIT]]</f>
        <v>200.26</v>
      </c>
      <c r="F677" s="7">
        <f>Ventas[[#This Row],[SUBTOTAL]]*0.16</f>
        <v>32.041600000000003</v>
      </c>
      <c r="G677" s="7">
        <v>-2.1600000000006503E-2</v>
      </c>
      <c r="H677" s="7">
        <f>Ventas[[#This Row],[SUBTOTAL]]+Ventas[[#This Row],[IVA]]+Ventas[[#This Row],[DESCUENTO/EXTRA]]</f>
        <v>232.28</v>
      </c>
      <c r="I677" t="s">
        <v>18</v>
      </c>
      <c r="J677" t="s">
        <v>42</v>
      </c>
      <c r="K677" t="s">
        <v>15</v>
      </c>
      <c r="L677" t="s">
        <v>16</v>
      </c>
    </row>
    <row r="678" spans="1:12">
      <c r="A678" s="3">
        <v>45594</v>
      </c>
      <c r="B678" t="s">
        <v>12</v>
      </c>
      <c r="C678" s="5">
        <v>3</v>
      </c>
      <c r="D678" s="7">
        <v>54.55</v>
      </c>
      <c r="E678" s="7">
        <f>Ventas[[#This Row],[CANTIDAD]]*Ventas[[#This Row],[PRECIO_UNIT]]</f>
        <v>163.64999999999998</v>
      </c>
      <c r="F678" s="7">
        <f>Ventas[[#This Row],[SUBTOTAL]]*0.16</f>
        <v>26.183999999999997</v>
      </c>
      <c r="G678" s="7">
        <v>-3.999999999962256E-3</v>
      </c>
      <c r="H678" s="7">
        <f>Ventas[[#This Row],[SUBTOTAL]]+Ventas[[#This Row],[IVA]]+Ventas[[#This Row],[DESCUENTO/EXTRA]]</f>
        <v>189.83</v>
      </c>
      <c r="I678" t="s">
        <v>41</v>
      </c>
      <c r="J678" t="s">
        <v>34</v>
      </c>
      <c r="K678" t="s">
        <v>25</v>
      </c>
      <c r="L678" t="s">
        <v>16</v>
      </c>
    </row>
    <row r="679" spans="1:12">
      <c r="A679" s="3">
        <v>45595</v>
      </c>
      <c r="B679" t="s">
        <v>40</v>
      </c>
      <c r="C679" s="5">
        <v>5</v>
      </c>
      <c r="D679" s="7">
        <v>33.619999999999997</v>
      </c>
      <c r="E679" s="7">
        <f>Ventas[[#This Row],[CANTIDAD]]*Ventas[[#This Row],[PRECIO_UNIT]]</f>
        <v>168.1</v>
      </c>
      <c r="F679" s="7">
        <f>Ventas[[#This Row],[SUBTOTAL]]*0.16</f>
        <v>26.896000000000001</v>
      </c>
      <c r="G679" s="7">
        <v>-1.5999999999991132E-2</v>
      </c>
      <c r="H679" s="7">
        <f>Ventas[[#This Row],[SUBTOTAL]]+Ventas[[#This Row],[IVA]]+Ventas[[#This Row],[DESCUENTO/EXTRA]]</f>
        <v>194.98</v>
      </c>
      <c r="I679" t="s">
        <v>23</v>
      </c>
      <c r="J679" t="s">
        <v>47</v>
      </c>
      <c r="K679" t="s">
        <v>25</v>
      </c>
      <c r="L679" t="s">
        <v>16</v>
      </c>
    </row>
    <row r="680" spans="1:12">
      <c r="A680" s="3">
        <v>45595</v>
      </c>
      <c r="B680" t="s">
        <v>37</v>
      </c>
      <c r="C680" s="5">
        <v>14</v>
      </c>
      <c r="D680" s="7">
        <v>24.58</v>
      </c>
      <c r="E680" s="7">
        <f>Ventas[[#This Row],[CANTIDAD]]*Ventas[[#This Row],[PRECIO_UNIT]]</f>
        <v>344.12</v>
      </c>
      <c r="F680" s="7">
        <f>Ventas[[#This Row],[SUBTOTAL]]*0.16</f>
        <v>55.059200000000004</v>
      </c>
      <c r="G680" s="7">
        <v>7.0799999999962893E-2</v>
      </c>
      <c r="H680" s="7">
        <f>Ventas[[#This Row],[SUBTOTAL]]+Ventas[[#This Row],[IVA]]+Ventas[[#This Row],[DESCUENTO/EXTRA]]</f>
        <v>399.25</v>
      </c>
      <c r="I680" t="s">
        <v>41</v>
      </c>
      <c r="J680" t="s">
        <v>29</v>
      </c>
      <c r="K680" t="s">
        <v>15</v>
      </c>
      <c r="L680" t="s">
        <v>16</v>
      </c>
    </row>
    <row r="681" spans="1:12">
      <c r="A681" s="3">
        <v>45596</v>
      </c>
      <c r="B681" t="s">
        <v>20</v>
      </c>
      <c r="C681" s="5">
        <v>12</v>
      </c>
      <c r="D681" s="7">
        <v>12.13</v>
      </c>
      <c r="E681" s="7">
        <f>Ventas[[#This Row],[CANTIDAD]]*Ventas[[#This Row],[PRECIO_UNIT]]</f>
        <v>145.56</v>
      </c>
      <c r="F681" s="7">
        <f>Ventas[[#This Row],[SUBTOTAL]]*0.16</f>
        <v>23.2896</v>
      </c>
      <c r="G681" s="7">
        <v>2.0399999999995089E-2</v>
      </c>
      <c r="H681" s="7">
        <f>Ventas[[#This Row],[SUBTOTAL]]+Ventas[[#This Row],[IVA]]+Ventas[[#This Row],[DESCUENTO/EXTRA]]</f>
        <v>168.87</v>
      </c>
      <c r="I681" t="s">
        <v>18</v>
      </c>
      <c r="J681" t="s">
        <v>36</v>
      </c>
      <c r="K681" t="s">
        <v>25</v>
      </c>
      <c r="L681" t="s">
        <v>16</v>
      </c>
    </row>
    <row r="682" spans="1:12">
      <c r="A682" s="3">
        <v>45596</v>
      </c>
      <c r="B682" t="s">
        <v>45</v>
      </c>
      <c r="C682" s="5">
        <v>28</v>
      </c>
      <c r="D682" s="7">
        <v>49.44</v>
      </c>
      <c r="E682" s="7">
        <f>Ventas[[#This Row],[CANTIDAD]]*Ventas[[#This Row],[PRECIO_UNIT]]</f>
        <v>1384.32</v>
      </c>
      <c r="F682" s="7">
        <f>Ventas[[#This Row],[SUBTOTAL]]*0.16</f>
        <v>221.49119999999999</v>
      </c>
      <c r="G682" s="7">
        <v>9.8800000000210275E-2</v>
      </c>
      <c r="H682" s="7">
        <f>Ventas[[#This Row],[SUBTOTAL]]+Ventas[[#This Row],[IVA]]+Ventas[[#This Row],[DESCUENTO/EXTRA]]</f>
        <v>1605.91</v>
      </c>
      <c r="I682" t="s">
        <v>23</v>
      </c>
      <c r="J682" t="s">
        <v>52</v>
      </c>
      <c r="K682" t="s">
        <v>15</v>
      </c>
      <c r="L682" t="s">
        <v>16</v>
      </c>
    </row>
    <row r="683" spans="1:12">
      <c r="A683" s="3">
        <v>45596</v>
      </c>
      <c r="B683" t="s">
        <v>22</v>
      </c>
      <c r="C683" s="5">
        <v>21</v>
      </c>
      <c r="D683" s="7">
        <v>22.04</v>
      </c>
      <c r="E683" s="7">
        <f>Ventas[[#This Row],[CANTIDAD]]*Ventas[[#This Row],[PRECIO_UNIT]]</f>
        <v>462.84</v>
      </c>
      <c r="F683" s="7">
        <f>Ventas[[#This Row],[SUBTOTAL]]*0.16</f>
        <v>74.054400000000001</v>
      </c>
      <c r="G683" s="7">
        <v>-3.4400000000005093E-2</v>
      </c>
      <c r="H683" s="7">
        <f>Ventas[[#This Row],[SUBTOTAL]]+Ventas[[#This Row],[IVA]]+Ventas[[#This Row],[DESCUENTO/EXTRA]]</f>
        <v>536.86</v>
      </c>
      <c r="I683" t="s">
        <v>18</v>
      </c>
      <c r="J683" t="s">
        <v>53</v>
      </c>
      <c r="K683" t="s">
        <v>15</v>
      </c>
      <c r="L683" t="s">
        <v>16</v>
      </c>
    </row>
    <row r="684" spans="1:12">
      <c r="A684" s="3">
        <v>45599</v>
      </c>
      <c r="B684" t="s">
        <v>17</v>
      </c>
      <c r="C684" s="5">
        <v>2</v>
      </c>
      <c r="D684" s="7">
        <v>33</v>
      </c>
      <c r="E684" s="7">
        <f>Ventas[[#This Row],[CANTIDAD]]*Ventas[[#This Row],[PRECIO_UNIT]]</f>
        <v>66</v>
      </c>
      <c r="F684" s="7">
        <f>Ventas[[#This Row],[SUBTOTAL]]*0.16</f>
        <v>10.56</v>
      </c>
      <c r="G684" s="7">
        <v>0.43999999999999773</v>
      </c>
      <c r="H684" s="7">
        <f>Ventas[[#This Row],[SUBTOTAL]]+Ventas[[#This Row],[IVA]]+Ventas[[#This Row],[DESCUENTO/EXTRA]]</f>
        <v>77</v>
      </c>
      <c r="I684" t="s">
        <v>32</v>
      </c>
      <c r="J684" t="s">
        <v>38</v>
      </c>
      <c r="K684" t="s">
        <v>25</v>
      </c>
      <c r="L684" t="s">
        <v>16</v>
      </c>
    </row>
    <row r="685" spans="1:12">
      <c r="A685" s="3">
        <v>45600</v>
      </c>
      <c r="B685" t="s">
        <v>35</v>
      </c>
      <c r="C685" s="5">
        <v>15</v>
      </c>
      <c r="D685" s="7">
        <v>27.28</v>
      </c>
      <c r="E685" s="7">
        <f>Ventas[[#This Row],[CANTIDAD]]*Ventas[[#This Row],[PRECIO_UNIT]]</f>
        <v>409.20000000000005</v>
      </c>
      <c r="F685" s="7">
        <f>Ventas[[#This Row],[SUBTOTAL]]*0.16</f>
        <v>65.472000000000008</v>
      </c>
      <c r="G685" s="7">
        <v>-1.2000000000000455E-2</v>
      </c>
      <c r="H685" s="7">
        <f>Ventas[[#This Row],[SUBTOTAL]]+Ventas[[#This Row],[IVA]]+Ventas[[#This Row],[DESCUENTO/EXTRA]]</f>
        <v>474.66</v>
      </c>
      <c r="I685" t="s">
        <v>23</v>
      </c>
      <c r="J685" t="s">
        <v>54</v>
      </c>
      <c r="K685" t="s">
        <v>25</v>
      </c>
      <c r="L685" t="s">
        <v>16</v>
      </c>
    </row>
    <row r="686" spans="1:12">
      <c r="A686" s="3">
        <v>45600</v>
      </c>
      <c r="B686" t="s">
        <v>46</v>
      </c>
      <c r="C686" s="5">
        <v>8</v>
      </c>
      <c r="D686" s="7">
        <v>25.26</v>
      </c>
      <c r="E686" s="7">
        <f>Ventas[[#This Row],[CANTIDAD]]*Ventas[[#This Row],[PRECIO_UNIT]]</f>
        <v>202.08</v>
      </c>
      <c r="F686" s="7">
        <f>Ventas[[#This Row],[SUBTOTAL]]*0.16</f>
        <v>32.332800000000006</v>
      </c>
      <c r="G686" s="7">
        <v>-0.41280000000000427</v>
      </c>
      <c r="H686" s="7">
        <f>Ventas[[#This Row],[SUBTOTAL]]+Ventas[[#This Row],[IVA]]+Ventas[[#This Row],[DESCUENTO/EXTRA]]</f>
        <v>234</v>
      </c>
      <c r="I686" t="s">
        <v>13</v>
      </c>
      <c r="J686" t="s">
        <v>51</v>
      </c>
      <c r="K686" t="s">
        <v>25</v>
      </c>
      <c r="L686" t="s">
        <v>16</v>
      </c>
    </row>
    <row r="687" spans="1:12">
      <c r="A687" s="3">
        <v>45601</v>
      </c>
      <c r="B687" t="s">
        <v>40</v>
      </c>
      <c r="C687" s="5">
        <v>8</v>
      </c>
      <c r="D687" s="7">
        <v>34</v>
      </c>
      <c r="E687" s="7">
        <f>Ventas[[#This Row],[CANTIDAD]]*Ventas[[#This Row],[PRECIO_UNIT]]</f>
        <v>272</v>
      </c>
      <c r="F687" s="7">
        <f>Ventas[[#This Row],[SUBTOTAL]]*0.16</f>
        <v>43.52</v>
      </c>
      <c r="G687" s="7">
        <v>0.79000000000002046</v>
      </c>
      <c r="H687" s="7">
        <f>Ventas[[#This Row],[SUBTOTAL]]+Ventas[[#This Row],[IVA]]+Ventas[[#This Row],[DESCUENTO/EXTRA]]</f>
        <v>316.31</v>
      </c>
      <c r="I687" t="s">
        <v>23</v>
      </c>
      <c r="J687" t="s">
        <v>30</v>
      </c>
      <c r="K687" t="s">
        <v>15</v>
      </c>
      <c r="L687" t="s">
        <v>16</v>
      </c>
    </row>
    <row r="688" spans="1:12">
      <c r="A688" s="3">
        <v>45601</v>
      </c>
      <c r="B688" t="s">
        <v>20</v>
      </c>
      <c r="C688" s="5">
        <v>1</v>
      </c>
      <c r="D688" s="7">
        <v>12</v>
      </c>
      <c r="E688" s="7">
        <f>Ventas[[#This Row],[CANTIDAD]]*Ventas[[#This Row],[PRECIO_UNIT]]</f>
        <v>12</v>
      </c>
      <c r="F688" s="7">
        <f>Ventas[[#This Row],[SUBTOTAL]]*0.16</f>
        <v>1.92</v>
      </c>
      <c r="G688" s="7">
        <v>0.5600000000000005</v>
      </c>
      <c r="H688" s="7">
        <f>Ventas[[#This Row],[SUBTOTAL]]+Ventas[[#This Row],[IVA]]+Ventas[[#This Row],[DESCUENTO/EXTRA]]</f>
        <v>14.48</v>
      </c>
      <c r="I688" t="s">
        <v>23</v>
      </c>
      <c r="J688" t="s">
        <v>47</v>
      </c>
      <c r="K688" t="s">
        <v>15</v>
      </c>
      <c r="L688" t="s">
        <v>16</v>
      </c>
    </row>
    <row r="689" spans="1:12">
      <c r="A689" s="3">
        <v>45601</v>
      </c>
      <c r="B689" t="s">
        <v>43</v>
      </c>
      <c r="C689" s="5">
        <v>29</v>
      </c>
      <c r="D689" s="7">
        <v>29.36</v>
      </c>
      <c r="E689" s="7">
        <f>Ventas[[#This Row],[CANTIDAD]]*Ventas[[#This Row],[PRECIO_UNIT]]</f>
        <v>851.43999999999994</v>
      </c>
      <c r="F689" s="7">
        <f>Ventas[[#This Row],[SUBTOTAL]]*0.16</f>
        <v>136.2304</v>
      </c>
      <c r="G689" s="7">
        <v>9.5999999999776264E-3</v>
      </c>
      <c r="H689" s="7">
        <f>Ventas[[#This Row],[SUBTOTAL]]+Ventas[[#This Row],[IVA]]+Ventas[[#This Row],[DESCUENTO/EXTRA]]</f>
        <v>987.68</v>
      </c>
      <c r="I689" t="s">
        <v>13</v>
      </c>
      <c r="J689" t="s">
        <v>39</v>
      </c>
      <c r="K689" t="s">
        <v>15</v>
      </c>
      <c r="L689" t="s">
        <v>16</v>
      </c>
    </row>
    <row r="690" spans="1:12">
      <c r="A690" s="3">
        <v>45604</v>
      </c>
      <c r="B690" t="s">
        <v>35</v>
      </c>
      <c r="C690" s="5">
        <v>30</v>
      </c>
      <c r="D690" s="7">
        <v>24.46</v>
      </c>
      <c r="E690" s="7">
        <f>Ventas[[#This Row],[CANTIDAD]]*Ventas[[#This Row],[PRECIO_UNIT]]</f>
        <v>733.80000000000007</v>
      </c>
      <c r="F690" s="7">
        <f>Ventas[[#This Row],[SUBTOTAL]]*0.16</f>
        <v>117.40800000000002</v>
      </c>
      <c r="G690" s="7">
        <v>0.11199999999996635</v>
      </c>
      <c r="H690" s="7">
        <f>Ventas[[#This Row],[SUBTOTAL]]+Ventas[[#This Row],[IVA]]+Ventas[[#This Row],[DESCUENTO/EXTRA]]</f>
        <v>851.32</v>
      </c>
      <c r="I690" t="s">
        <v>18</v>
      </c>
      <c r="J690" t="s">
        <v>30</v>
      </c>
      <c r="K690" t="s">
        <v>25</v>
      </c>
      <c r="L690" t="s">
        <v>16</v>
      </c>
    </row>
    <row r="691" spans="1:12">
      <c r="A691" s="3">
        <v>45604</v>
      </c>
      <c r="B691" t="s">
        <v>40</v>
      </c>
      <c r="C691" s="5">
        <v>23</v>
      </c>
      <c r="D691" s="7">
        <v>35.17</v>
      </c>
      <c r="E691" s="7">
        <f>Ventas[[#This Row],[CANTIDAD]]*Ventas[[#This Row],[PRECIO_UNIT]]</f>
        <v>808.91000000000008</v>
      </c>
      <c r="F691" s="7">
        <f>Ventas[[#This Row],[SUBTOTAL]]*0.16</f>
        <v>129.4256</v>
      </c>
      <c r="G691" s="7">
        <v>2.4399999999900501E-2</v>
      </c>
      <c r="H691" s="7">
        <f>Ventas[[#This Row],[SUBTOTAL]]+Ventas[[#This Row],[IVA]]+Ventas[[#This Row],[DESCUENTO/EXTRA]]</f>
        <v>938.36</v>
      </c>
      <c r="I691" t="s">
        <v>18</v>
      </c>
      <c r="J691" t="s">
        <v>44</v>
      </c>
      <c r="K691" t="s">
        <v>15</v>
      </c>
      <c r="L691" t="s">
        <v>16</v>
      </c>
    </row>
    <row r="692" spans="1:12">
      <c r="A692" s="3">
        <v>45606</v>
      </c>
      <c r="B692" t="s">
        <v>37</v>
      </c>
      <c r="C692" s="5">
        <v>21</v>
      </c>
      <c r="D692" s="7">
        <v>23.23</v>
      </c>
      <c r="E692" s="7">
        <f>Ventas[[#This Row],[CANTIDAD]]*Ventas[[#This Row],[PRECIO_UNIT]]</f>
        <v>487.83</v>
      </c>
      <c r="F692" s="7">
        <f>Ventas[[#This Row],[SUBTOTAL]]*0.16</f>
        <v>78.052800000000005</v>
      </c>
      <c r="G692" s="7">
        <v>4.7199999999975262E-2</v>
      </c>
      <c r="H692" s="7">
        <f>Ventas[[#This Row],[SUBTOTAL]]+Ventas[[#This Row],[IVA]]+Ventas[[#This Row],[DESCUENTO/EXTRA]]</f>
        <v>565.92999999999995</v>
      </c>
      <c r="I692" t="s">
        <v>23</v>
      </c>
      <c r="J692" t="s">
        <v>52</v>
      </c>
      <c r="K692" t="s">
        <v>15</v>
      </c>
      <c r="L692" t="s">
        <v>16</v>
      </c>
    </row>
    <row r="693" spans="1:12">
      <c r="A693" s="3">
        <v>45606</v>
      </c>
      <c r="B693" t="s">
        <v>45</v>
      </c>
      <c r="C693" s="5">
        <v>15</v>
      </c>
      <c r="D693" s="7">
        <v>43.93</v>
      </c>
      <c r="E693" s="7">
        <f>Ventas[[#This Row],[CANTIDAD]]*Ventas[[#This Row],[PRECIO_UNIT]]</f>
        <v>658.95</v>
      </c>
      <c r="F693" s="7">
        <f>Ventas[[#This Row],[SUBTOTAL]]*0.16</f>
        <v>105.43200000000002</v>
      </c>
      <c r="G693" s="7">
        <v>-0.38200000000006185</v>
      </c>
      <c r="H693" s="7">
        <f>Ventas[[#This Row],[SUBTOTAL]]+Ventas[[#This Row],[IVA]]+Ventas[[#This Row],[DESCUENTO/EXTRA]]</f>
        <v>764</v>
      </c>
      <c r="I693" t="s">
        <v>13</v>
      </c>
      <c r="J693" t="s">
        <v>55</v>
      </c>
      <c r="K693" t="s">
        <v>15</v>
      </c>
      <c r="L693" t="s">
        <v>16</v>
      </c>
    </row>
    <row r="694" spans="1:12">
      <c r="A694" s="3">
        <v>45606</v>
      </c>
      <c r="B694" t="s">
        <v>46</v>
      </c>
      <c r="C694" s="5">
        <v>20</v>
      </c>
      <c r="D694" s="7">
        <v>25</v>
      </c>
      <c r="E694" s="7">
        <f>Ventas[[#This Row],[CANTIDAD]]*Ventas[[#This Row],[PRECIO_UNIT]]</f>
        <v>500</v>
      </c>
      <c r="F694" s="7">
        <f>Ventas[[#This Row],[SUBTOTAL]]*0.16</f>
        <v>80</v>
      </c>
      <c r="G694" s="7">
        <v>10</v>
      </c>
      <c r="H694" s="7">
        <f>Ventas[[#This Row],[SUBTOTAL]]+Ventas[[#This Row],[IVA]]+Ventas[[#This Row],[DESCUENTO/EXTRA]]</f>
        <v>590</v>
      </c>
      <c r="I694" t="s">
        <v>23</v>
      </c>
      <c r="J694" t="s">
        <v>36</v>
      </c>
      <c r="K694" t="s">
        <v>25</v>
      </c>
      <c r="L694" t="s">
        <v>16</v>
      </c>
    </row>
    <row r="695" spans="1:12">
      <c r="A695" s="3">
        <v>45609</v>
      </c>
      <c r="B695" t="s">
        <v>20</v>
      </c>
      <c r="C695" s="5">
        <v>14</v>
      </c>
      <c r="D695" s="7">
        <v>12.16</v>
      </c>
      <c r="E695" s="7">
        <f>Ventas[[#This Row],[CANTIDAD]]*Ventas[[#This Row],[PRECIO_UNIT]]</f>
        <v>170.24</v>
      </c>
      <c r="F695" s="7">
        <f>Ventas[[#This Row],[SUBTOTAL]]*0.16</f>
        <v>27.238400000000002</v>
      </c>
      <c r="G695" s="7">
        <v>-3.8400000000024193E-2</v>
      </c>
      <c r="H695" s="7">
        <f>Ventas[[#This Row],[SUBTOTAL]]+Ventas[[#This Row],[IVA]]+Ventas[[#This Row],[DESCUENTO/EXTRA]]</f>
        <v>197.44</v>
      </c>
      <c r="I695" t="s">
        <v>32</v>
      </c>
      <c r="J695" t="s">
        <v>56</v>
      </c>
      <c r="K695" t="s">
        <v>15</v>
      </c>
      <c r="L695" t="s">
        <v>16</v>
      </c>
    </row>
    <row r="696" spans="1:12">
      <c r="A696" s="3">
        <v>45609</v>
      </c>
      <c r="B696" t="s">
        <v>35</v>
      </c>
      <c r="C696" s="5">
        <v>10</v>
      </c>
      <c r="D696" s="7">
        <v>24.57</v>
      </c>
      <c r="E696" s="7">
        <f>Ventas[[#This Row],[CANTIDAD]]*Ventas[[#This Row],[PRECIO_UNIT]]</f>
        <v>245.7</v>
      </c>
      <c r="F696" s="7">
        <f>Ventas[[#This Row],[SUBTOTAL]]*0.16</f>
        <v>39.311999999999998</v>
      </c>
      <c r="G696" s="7">
        <v>4.8000000000001819E-2</v>
      </c>
      <c r="H696" s="7">
        <f>Ventas[[#This Row],[SUBTOTAL]]+Ventas[[#This Row],[IVA]]+Ventas[[#This Row],[DESCUENTO/EXTRA]]</f>
        <v>285.06</v>
      </c>
      <c r="I696" t="s">
        <v>32</v>
      </c>
      <c r="J696" t="s">
        <v>56</v>
      </c>
      <c r="K696" t="s">
        <v>25</v>
      </c>
      <c r="L696" t="s">
        <v>16</v>
      </c>
    </row>
    <row r="697" spans="1:12">
      <c r="A697" s="3">
        <v>45610</v>
      </c>
      <c r="B697" t="s">
        <v>40</v>
      </c>
      <c r="C697" s="5">
        <v>25</v>
      </c>
      <c r="D697" s="7">
        <v>32.92</v>
      </c>
      <c r="E697" s="7">
        <f>Ventas[[#This Row],[CANTIDAD]]*Ventas[[#This Row],[PRECIO_UNIT]]</f>
        <v>823</v>
      </c>
      <c r="F697" s="7">
        <f>Ventas[[#This Row],[SUBTOTAL]]*0.16</f>
        <v>131.68</v>
      </c>
      <c r="G697" s="7">
        <v>-5.0000000000068212E-2</v>
      </c>
      <c r="H697" s="7">
        <f>Ventas[[#This Row],[SUBTOTAL]]+Ventas[[#This Row],[IVA]]+Ventas[[#This Row],[DESCUENTO/EXTRA]]</f>
        <v>954.63</v>
      </c>
      <c r="I697" t="s">
        <v>23</v>
      </c>
      <c r="J697" t="s">
        <v>19</v>
      </c>
      <c r="K697" t="s">
        <v>25</v>
      </c>
      <c r="L697" t="s">
        <v>16</v>
      </c>
    </row>
    <row r="698" spans="1:12">
      <c r="A698" s="3">
        <v>45611</v>
      </c>
      <c r="B698" t="s">
        <v>28</v>
      </c>
      <c r="C698" s="5">
        <v>11</v>
      </c>
      <c r="D698" s="7">
        <v>82.33</v>
      </c>
      <c r="E698" s="7">
        <f>Ventas[[#This Row],[CANTIDAD]]*Ventas[[#This Row],[PRECIO_UNIT]]</f>
        <v>905.63</v>
      </c>
      <c r="F698" s="7">
        <f>Ventas[[#This Row],[SUBTOTAL]]*0.16</f>
        <v>144.9008</v>
      </c>
      <c r="G698" s="7">
        <v>-0.53079999999999927</v>
      </c>
      <c r="H698" s="7">
        <f>Ventas[[#This Row],[SUBTOTAL]]+Ventas[[#This Row],[IVA]]+Ventas[[#This Row],[DESCUENTO/EXTRA]]</f>
        <v>1050</v>
      </c>
      <c r="I698" t="s">
        <v>23</v>
      </c>
      <c r="J698" t="s">
        <v>24</v>
      </c>
      <c r="K698" t="s">
        <v>25</v>
      </c>
      <c r="L698" t="s">
        <v>16</v>
      </c>
    </row>
    <row r="699" spans="1:12">
      <c r="A699" s="3">
        <v>45615</v>
      </c>
      <c r="B699" t="s">
        <v>20</v>
      </c>
      <c r="C699" s="5">
        <v>9</v>
      </c>
      <c r="D699" s="7">
        <v>12.29</v>
      </c>
      <c r="E699" s="7">
        <f>Ventas[[#This Row],[CANTIDAD]]*Ventas[[#This Row],[PRECIO_UNIT]]</f>
        <v>110.60999999999999</v>
      </c>
      <c r="F699" s="7">
        <f>Ventas[[#This Row],[SUBTOTAL]]*0.16</f>
        <v>17.697599999999998</v>
      </c>
      <c r="G699" s="7">
        <v>-4.759999999998854E-2</v>
      </c>
      <c r="H699" s="7">
        <f>Ventas[[#This Row],[SUBTOTAL]]+Ventas[[#This Row],[IVA]]+Ventas[[#This Row],[DESCUENTO/EXTRA]]</f>
        <v>128.26</v>
      </c>
      <c r="I699" t="s">
        <v>18</v>
      </c>
      <c r="J699" t="s">
        <v>53</v>
      </c>
      <c r="K699" t="s">
        <v>15</v>
      </c>
      <c r="L699" t="s">
        <v>16</v>
      </c>
    </row>
    <row r="700" spans="1:12">
      <c r="A700" s="3">
        <v>45615</v>
      </c>
      <c r="B700" t="s">
        <v>43</v>
      </c>
      <c r="C700" s="5">
        <v>12</v>
      </c>
      <c r="D700" s="7">
        <v>30</v>
      </c>
      <c r="E700" s="7">
        <f>Ventas[[#This Row],[CANTIDAD]]*Ventas[[#This Row],[PRECIO_UNIT]]</f>
        <v>360</v>
      </c>
      <c r="F700" s="7">
        <f>Ventas[[#This Row],[SUBTOTAL]]*0.16</f>
        <v>57.6</v>
      </c>
      <c r="G700" s="7">
        <v>-6.6000000000000227</v>
      </c>
      <c r="H700" s="7">
        <f>Ventas[[#This Row],[SUBTOTAL]]+Ventas[[#This Row],[IVA]]+Ventas[[#This Row],[DESCUENTO/EXTRA]]</f>
        <v>411</v>
      </c>
      <c r="I700" t="s">
        <v>13</v>
      </c>
      <c r="J700" t="s">
        <v>30</v>
      </c>
      <c r="K700" t="s">
        <v>25</v>
      </c>
      <c r="L700" t="s">
        <v>16</v>
      </c>
    </row>
    <row r="701" spans="1:12">
      <c r="A701" s="3">
        <v>45616</v>
      </c>
      <c r="B701" t="s">
        <v>45</v>
      </c>
      <c r="C701" s="5">
        <v>11</v>
      </c>
      <c r="D701" s="7">
        <v>45</v>
      </c>
      <c r="E701" s="7">
        <f>Ventas[[#This Row],[CANTIDAD]]*Ventas[[#This Row],[PRECIO_UNIT]]</f>
        <v>495</v>
      </c>
      <c r="F701" s="7">
        <f>Ventas[[#This Row],[SUBTOTAL]]*0.16</f>
        <v>79.2</v>
      </c>
      <c r="G701" s="7">
        <v>-4.3600000000000136</v>
      </c>
      <c r="H701" s="7">
        <f>Ventas[[#This Row],[SUBTOTAL]]+Ventas[[#This Row],[IVA]]+Ventas[[#This Row],[DESCUENTO/EXTRA]]</f>
        <v>569.84</v>
      </c>
      <c r="I701" t="s">
        <v>18</v>
      </c>
      <c r="J701" t="s">
        <v>51</v>
      </c>
      <c r="K701" t="s">
        <v>25</v>
      </c>
      <c r="L701" t="s">
        <v>16</v>
      </c>
    </row>
    <row r="702" spans="1:12">
      <c r="A702" s="3">
        <v>45617</v>
      </c>
      <c r="B702" t="s">
        <v>26</v>
      </c>
      <c r="C702" s="5">
        <v>26</v>
      </c>
      <c r="D702" s="7">
        <v>39</v>
      </c>
      <c r="E702" s="7">
        <f>Ventas[[#This Row],[CANTIDAD]]*Ventas[[#This Row],[PRECIO_UNIT]]</f>
        <v>1014</v>
      </c>
      <c r="F702" s="7">
        <f>Ventas[[#This Row],[SUBTOTAL]]*0.16</f>
        <v>162.24</v>
      </c>
      <c r="G702" s="7">
        <v>1.0399999999999636</v>
      </c>
      <c r="H702" s="7">
        <f>Ventas[[#This Row],[SUBTOTAL]]+Ventas[[#This Row],[IVA]]+Ventas[[#This Row],[DESCUENTO/EXTRA]]</f>
        <v>1177.28</v>
      </c>
      <c r="I702" t="s">
        <v>18</v>
      </c>
      <c r="J702" t="s">
        <v>24</v>
      </c>
      <c r="K702" t="s">
        <v>15</v>
      </c>
      <c r="L702" t="s">
        <v>16</v>
      </c>
    </row>
    <row r="703" spans="1:12">
      <c r="A703" s="3">
        <v>45619</v>
      </c>
      <c r="B703" t="s">
        <v>17</v>
      </c>
      <c r="C703" s="5">
        <v>8</v>
      </c>
      <c r="D703" s="7">
        <v>37.17</v>
      </c>
      <c r="E703" s="7">
        <f>Ventas[[#This Row],[CANTIDAD]]*Ventas[[#This Row],[PRECIO_UNIT]]</f>
        <v>297.36</v>
      </c>
      <c r="F703" s="7">
        <f>Ventas[[#This Row],[SUBTOTAL]]*0.16</f>
        <v>47.577600000000004</v>
      </c>
      <c r="G703" s="7">
        <v>-3.7600000000054479E-2</v>
      </c>
      <c r="H703" s="7">
        <f>Ventas[[#This Row],[SUBTOTAL]]+Ventas[[#This Row],[IVA]]+Ventas[[#This Row],[DESCUENTO/EXTRA]]</f>
        <v>344.9</v>
      </c>
      <c r="I703" t="s">
        <v>18</v>
      </c>
      <c r="J703" t="s">
        <v>14</v>
      </c>
      <c r="K703" t="s">
        <v>25</v>
      </c>
      <c r="L703" t="s">
        <v>16</v>
      </c>
    </row>
    <row r="704" spans="1:12">
      <c r="A704" s="3">
        <v>45621</v>
      </c>
      <c r="B704" t="s">
        <v>40</v>
      </c>
      <c r="C704" s="5">
        <v>5</v>
      </c>
      <c r="D704" s="7">
        <v>34</v>
      </c>
      <c r="E704" s="7">
        <f>Ventas[[#This Row],[CANTIDAD]]*Ventas[[#This Row],[PRECIO_UNIT]]</f>
        <v>170</v>
      </c>
      <c r="F704" s="7">
        <f>Ventas[[#This Row],[SUBTOTAL]]*0.16</f>
        <v>27.2</v>
      </c>
      <c r="G704" s="7">
        <v>3.460000000000008</v>
      </c>
      <c r="H704" s="7">
        <f>Ventas[[#This Row],[SUBTOTAL]]+Ventas[[#This Row],[IVA]]+Ventas[[#This Row],[DESCUENTO/EXTRA]]</f>
        <v>200.66</v>
      </c>
      <c r="I704" t="s">
        <v>41</v>
      </c>
      <c r="J704" t="s">
        <v>34</v>
      </c>
      <c r="K704" t="s">
        <v>15</v>
      </c>
      <c r="L704" t="s">
        <v>16</v>
      </c>
    </row>
    <row r="705" spans="1:12">
      <c r="A705" s="3">
        <v>45622</v>
      </c>
      <c r="B705" t="s">
        <v>17</v>
      </c>
      <c r="C705" s="5">
        <v>19</v>
      </c>
      <c r="D705" s="7">
        <v>37.729999999999997</v>
      </c>
      <c r="E705" s="7">
        <f>Ventas[[#This Row],[CANTIDAD]]*Ventas[[#This Row],[PRECIO_UNIT]]</f>
        <v>716.86999999999989</v>
      </c>
      <c r="F705" s="7">
        <f>Ventas[[#This Row],[SUBTOTAL]]*0.16</f>
        <v>114.69919999999999</v>
      </c>
      <c r="G705" s="7">
        <v>8.0800000000067485E-2</v>
      </c>
      <c r="H705" s="7">
        <f>Ventas[[#This Row],[SUBTOTAL]]+Ventas[[#This Row],[IVA]]+Ventas[[#This Row],[DESCUENTO/EXTRA]]</f>
        <v>831.65</v>
      </c>
      <c r="I705" t="s">
        <v>18</v>
      </c>
      <c r="J705" t="s">
        <v>50</v>
      </c>
      <c r="K705" t="s">
        <v>15</v>
      </c>
      <c r="L705" t="s">
        <v>16</v>
      </c>
    </row>
    <row r="706" spans="1:12">
      <c r="A706" s="3">
        <v>45623</v>
      </c>
      <c r="B706" t="s">
        <v>26</v>
      </c>
      <c r="C706" s="5">
        <v>13</v>
      </c>
      <c r="D706" s="7">
        <v>41.95</v>
      </c>
      <c r="E706" s="7">
        <f>Ventas[[#This Row],[CANTIDAD]]*Ventas[[#This Row],[PRECIO_UNIT]]</f>
        <v>545.35</v>
      </c>
      <c r="F706" s="7">
        <f>Ventas[[#This Row],[SUBTOTAL]]*0.16</f>
        <v>87.256</v>
      </c>
      <c r="G706" s="7">
        <v>4.0000000000190994E-3</v>
      </c>
      <c r="H706" s="7">
        <f>Ventas[[#This Row],[SUBTOTAL]]+Ventas[[#This Row],[IVA]]+Ventas[[#This Row],[DESCUENTO/EXTRA]]</f>
        <v>632.61</v>
      </c>
      <c r="I706" t="s">
        <v>32</v>
      </c>
      <c r="J706" t="s">
        <v>42</v>
      </c>
      <c r="K706" t="s">
        <v>25</v>
      </c>
      <c r="L706" t="s">
        <v>16</v>
      </c>
    </row>
    <row r="707" spans="1:12">
      <c r="A707" s="3">
        <v>45624</v>
      </c>
      <c r="B707" t="s">
        <v>12</v>
      </c>
      <c r="C707" s="5">
        <v>15</v>
      </c>
      <c r="D707" s="7">
        <v>60.43</v>
      </c>
      <c r="E707" s="7">
        <f>Ventas[[#This Row],[CANTIDAD]]*Ventas[[#This Row],[PRECIO_UNIT]]</f>
        <v>906.45</v>
      </c>
      <c r="F707" s="7">
        <f>Ventas[[#This Row],[SUBTOTAL]]*0.16</f>
        <v>145.03200000000001</v>
      </c>
      <c r="G707" s="7">
        <v>-1.9999999999527063E-3</v>
      </c>
      <c r="H707" s="7">
        <f>Ventas[[#This Row],[SUBTOTAL]]+Ventas[[#This Row],[IVA]]+Ventas[[#This Row],[DESCUENTO/EXTRA]]</f>
        <v>1051.48</v>
      </c>
      <c r="I707" t="s">
        <v>18</v>
      </c>
      <c r="J707" t="s">
        <v>54</v>
      </c>
      <c r="K707" t="s">
        <v>15</v>
      </c>
      <c r="L707" t="s">
        <v>16</v>
      </c>
    </row>
    <row r="708" spans="1:12">
      <c r="A708" s="3">
        <v>45625</v>
      </c>
      <c r="B708" t="s">
        <v>26</v>
      </c>
      <c r="C708" s="5">
        <v>6</v>
      </c>
      <c r="D708" s="7">
        <v>40.229999999999997</v>
      </c>
      <c r="E708" s="7">
        <f>Ventas[[#This Row],[CANTIDAD]]*Ventas[[#This Row],[PRECIO_UNIT]]</f>
        <v>241.38</v>
      </c>
      <c r="F708" s="7">
        <f>Ventas[[#This Row],[SUBTOTAL]]*0.16</f>
        <v>38.620800000000003</v>
      </c>
      <c r="G708" s="7">
        <v>1.9199999999955253E-2</v>
      </c>
      <c r="H708" s="7">
        <f>Ventas[[#This Row],[SUBTOTAL]]+Ventas[[#This Row],[IVA]]+Ventas[[#This Row],[DESCUENTO/EXTRA]]</f>
        <v>280.02</v>
      </c>
      <c r="I708" t="s">
        <v>23</v>
      </c>
      <c r="J708" t="s">
        <v>29</v>
      </c>
      <c r="K708" t="s">
        <v>15</v>
      </c>
      <c r="L708" t="s">
        <v>16</v>
      </c>
    </row>
    <row r="709" spans="1:12">
      <c r="A709" s="3">
        <v>45626</v>
      </c>
      <c r="B709" t="s">
        <v>37</v>
      </c>
      <c r="C709" s="5">
        <v>1</v>
      </c>
      <c r="D709" s="7">
        <v>22.2</v>
      </c>
      <c r="E709" s="7">
        <f>Ventas[[#This Row],[CANTIDAD]]*Ventas[[#This Row],[PRECIO_UNIT]]</f>
        <v>22.2</v>
      </c>
      <c r="F709" s="7">
        <f>Ventas[[#This Row],[SUBTOTAL]]*0.16</f>
        <v>3.552</v>
      </c>
      <c r="G709" s="7">
        <v>-1.9999999999988916E-3</v>
      </c>
      <c r="H709" s="7">
        <f>Ventas[[#This Row],[SUBTOTAL]]+Ventas[[#This Row],[IVA]]+Ventas[[#This Row],[DESCUENTO/EXTRA]]</f>
        <v>25.75</v>
      </c>
      <c r="I709" t="s">
        <v>18</v>
      </c>
      <c r="J709" t="s">
        <v>19</v>
      </c>
      <c r="K709" t="s">
        <v>15</v>
      </c>
      <c r="L709" t="s">
        <v>16</v>
      </c>
    </row>
    <row r="710" spans="1:12">
      <c r="A710" s="3">
        <v>45626</v>
      </c>
      <c r="B710" t="s">
        <v>45</v>
      </c>
      <c r="C710" s="5">
        <v>24</v>
      </c>
      <c r="D710" s="7">
        <v>43.21</v>
      </c>
      <c r="E710" s="7">
        <f>Ventas[[#This Row],[CANTIDAD]]*Ventas[[#This Row],[PRECIO_UNIT]]</f>
        <v>1037.04</v>
      </c>
      <c r="F710" s="7">
        <f>Ventas[[#This Row],[SUBTOTAL]]*0.16</f>
        <v>165.9264</v>
      </c>
      <c r="G710" s="7">
        <v>3.3599999999978536E-2</v>
      </c>
      <c r="H710" s="7">
        <f>Ventas[[#This Row],[SUBTOTAL]]+Ventas[[#This Row],[IVA]]+Ventas[[#This Row],[DESCUENTO/EXTRA]]</f>
        <v>1203</v>
      </c>
      <c r="I710" t="s">
        <v>13</v>
      </c>
      <c r="J710" t="s">
        <v>31</v>
      </c>
      <c r="K710" t="s">
        <v>15</v>
      </c>
      <c r="L710" t="s">
        <v>16</v>
      </c>
    </row>
    <row r="711" spans="1:12">
      <c r="A711" s="3">
        <v>45627</v>
      </c>
      <c r="B711" t="s">
        <v>40</v>
      </c>
      <c r="C711" s="5">
        <v>25</v>
      </c>
      <c r="D711" s="7">
        <v>35</v>
      </c>
      <c r="E711" s="7">
        <f>Ventas[[#This Row],[CANTIDAD]]*Ventas[[#This Row],[PRECIO_UNIT]]</f>
        <v>875</v>
      </c>
      <c r="F711" s="7">
        <f>Ventas[[#This Row],[SUBTOTAL]]*0.16</f>
        <v>140</v>
      </c>
      <c r="G711" s="7">
        <v>9.9100000000000819</v>
      </c>
      <c r="H711" s="7">
        <f>Ventas[[#This Row],[SUBTOTAL]]+Ventas[[#This Row],[IVA]]+Ventas[[#This Row],[DESCUENTO/EXTRA]]</f>
        <v>1024.9100000000001</v>
      </c>
      <c r="I711" t="s">
        <v>18</v>
      </c>
      <c r="J711" t="s">
        <v>44</v>
      </c>
      <c r="K711" t="s">
        <v>25</v>
      </c>
      <c r="L711" t="s">
        <v>16</v>
      </c>
    </row>
    <row r="712" spans="1:12">
      <c r="A712" s="3">
        <v>45629</v>
      </c>
      <c r="B712" t="s">
        <v>46</v>
      </c>
      <c r="C712" s="5">
        <v>23</v>
      </c>
      <c r="D712" s="7">
        <v>26.73</v>
      </c>
      <c r="E712" s="7">
        <f>Ventas[[#This Row],[CANTIDAD]]*Ventas[[#This Row],[PRECIO_UNIT]]</f>
        <v>614.79</v>
      </c>
      <c r="F712" s="7">
        <f>Ventas[[#This Row],[SUBTOTAL]]*0.16</f>
        <v>98.366399999999999</v>
      </c>
      <c r="G712" s="7">
        <v>0.10360000000002856</v>
      </c>
      <c r="H712" s="7">
        <f>Ventas[[#This Row],[SUBTOTAL]]+Ventas[[#This Row],[IVA]]+Ventas[[#This Row],[DESCUENTO/EXTRA]]</f>
        <v>713.26</v>
      </c>
      <c r="I712" t="s">
        <v>23</v>
      </c>
      <c r="J712" t="s">
        <v>31</v>
      </c>
      <c r="K712" t="s">
        <v>15</v>
      </c>
      <c r="L712" t="s">
        <v>16</v>
      </c>
    </row>
    <row r="713" spans="1:12">
      <c r="A713" s="3">
        <v>45629</v>
      </c>
      <c r="B713" t="s">
        <v>46</v>
      </c>
      <c r="C713" s="5">
        <v>19</v>
      </c>
      <c r="D713" s="7">
        <v>25</v>
      </c>
      <c r="E713" s="7">
        <f>Ventas[[#This Row],[CANTIDAD]]*Ventas[[#This Row],[PRECIO_UNIT]]</f>
        <v>475</v>
      </c>
      <c r="F713" s="7">
        <f>Ventas[[#This Row],[SUBTOTAL]]*0.16</f>
        <v>76</v>
      </c>
      <c r="G713" s="7">
        <v>7</v>
      </c>
      <c r="H713" s="7">
        <f>Ventas[[#This Row],[SUBTOTAL]]+Ventas[[#This Row],[IVA]]+Ventas[[#This Row],[DESCUENTO/EXTRA]]</f>
        <v>558</v>
      </c>
      <c r="I713" t="s">
        <v>13</v>
      </c>
      <c r="J713" t="s">
        <v>50</v>
      </c>
      <c r="K713" t="s">
        <v>25</v>
      </c>
      <c r="L713" t="s">
        <v>16</v>
      </c>
    </row>
    <row r="714" spans="1:12">
      <c r="A714" s="3">
        <v>45630</v>
      </c>
      <c r="B714" t="s">
        <v>35</v>
      </c>
      <c r="C714" s="5">
        <v>7</v>
      </c>
      <c r="D714" s="7">
        <v>26.45</v>
      </c>
      <c r="E714" s="7">
        <f>Ventas[[#This Row],[CANTIDAD]]*Ventas[[#This Row],[PRECIO_UNIT]]</f>
        <v>185.15</v>
      </c>
      <c r="F714" s="7">
        <f>Ventas[[#This Row],[SUBTOTAL]]*0.16</f>
        <v>29.624000000000002</v>
      </c>
      <c r="G714" s="7">
        <v>-0.77400000000000091</v>
      </c>
      <c r="H714" s="7">
        <f>Ventas[[#This Row],[SUBTOTAL]]+Ventas[[#This Row],[IVA]]+Ventas[[#This Row],[DESCUENTO/EXTRA]]</f>
        <v>214</v>
      </c>
      <c r="I714" t="s">
        <v>32</v>
      </c>
      <c r="J714" t="s">
        <v>24</v>
      </c>
      <c r="K714" t="s">
        <v>15</v>
      </c>
      <c r="L714" t="s">
        <v>16</v>
      </c>
    </row>
    <row r="715" spans="1:12">
      <c r="A715" s="3">
        <v>45632</v>
      </c>
      <c r="B715" t="s">
        <v>22</v>
      </c>
      <c r="C715" s="5">
        <v>16</v>
      </c>
      <c r="D715" s="7">
        <v>20.05</v>
      </c>
      <c r="E715" s="7">
        <f>Ventas[[#This Row],[CANTIDAD]]*Ventas[[#This Row],[PRECIO_UNIT]]</f>
        <v>320.8</v>
      </c>
      <c r="F715" s="7">
        <f>Ventas[[#This Row],[SUBTOTAL]]*0.16</f>
        <v>51.328000000000003</v>
      </c>
      <c r="G715" s="7">
        <v>-4.8000000000058662E-2</v>
      </c>
      <c r="H715" s="7">
        <f>Ventas[[#This Row],[SUBTOTAL]]+Ventas[[#This Row],[IVA]]+Ventas[[#This Row],[DESCUENTO/EXTRA]]</f>
        <v>372.08</v>
      </c>
      <c r="I715" t="s">
        <v>23</v>
      </c>
      <c r="J715" t="s">
        <v>50</v>
      </c>
      <c r="K715" t="s">
        <v>15</v>
      </c>
      <c r="L715" t="s">
        <v>16</v>
      </c>
    </row>
    <row r="716" spans="1:12">
      <c r="A716" s="3">
        <v>45632</v>
      </c>
      <c r="B716" t="s">
        <v>43</v>
      </c>
      <c r="C716" s="5">
        <v>2</v>
      </c>
      <c r="D716" s="7">
        <v>27.93</v>
      </c>
      <c r="E716" s="7">
        <f>Ventas[[#This Row],[CANTIDAD]]*Ventas[[#This Row],[PRECIO_UNIT]]</f>
        <v>55.86</v>
      </c>
      <c r="F716" s="7">
        <f>Ventas[[#This Row],[SUBTOTAL]]*0.16</f>
        <v>8.9375999999999998</v>
      </c>
      <c r="G716" s="7">
        <v>0.20239999999999725</v>
      </c>
      <c r="H716" s="7">
        <f>Ventas[[#This Row],[SUBTOTAL]]+Ventas[[#This Row],[IVA]]+Ventas[[#This Row],[DESCUENTO/EXTRA]]</f>
        <v>65</v>
      </c>
      <c r="I716" t="s">
        <v>23</v>
      </c>
      <c r="J716" t="s">
        <v>34</v>
      </c>
      <c r="K716" t="s">
        <v>15</v>
      </c>
      <c r="L716" t="s">
        <v>16</v>
      </c>
    </row>
    <row r="717" spans="1:12">
      <c r="A717" s="3">
        <v>45633</v>
      </c>
      <c r="B717" t="s">
        <v>26</v>
      </c>
      <c r="C717" s="5">
        <v>2</v>
      </c>
      <c r="D717" s="7">
        <v>39.729999999999997</v>
      </c>
      <c r="E717" s="7">
        <f>Ventas[[#This Row],[CANTIDAD]]*Ventas[[#This Row],[PRECIO_UNIT]]</f>
        <v>79.459999999999994</v>
      </c>
      <c r="F717" s="7">
        <f>Ventas[[#This Row],[SUBTOTAL]]*0.16</f>
        <v>12.7136</v>
      </c>
      <c r="G717" s="7">
        <v>-0.17359999999999332</v>
      </c>
      <c r="H717" s="7">
        <f>Ventas[[#This Row],[SUBTOTAL]]+Ventas[[#This Row],[IVA]]+Ventas[[#This Row],[DESCUENTO/EXTRA]]</f>
        <v>92</v>
      </c>
      <c r="I717" t="s">
        <v>13</v>
      </c>
      <c r="J717" t="s">
        <v>24</v>
      </c>
      <c r="K717" t="s">
        <v>25</v>
      </c>
      <c r="L717" t="s">
        <v>16</v>
      </c>
    </row>
    <row r="718" spans="1:12">
      <c r="A718" s="3">
        <v>45634</v>
      </c>
      <c r="B718" t="s">
        <v>17</v>
      </c>
      <c r="C718" s="5">
        <v>28</v>
      </c>
      <c r="D718" s="7">
        <v>34</v>
      </c>
      <c r="E718" s="7">
        <f>Ventas[[#This Row],[CANTIDAD]]*Ventas[[#This Row],[PRECIO_UNIT]]</f>
        <v>952</v>
      </c>
      <c r="F718" s="7">
        <f>Ventas[[#This Row],[SUBTOTAL]]*0.16</f>
        <v>152.32</v>
      </c>
      <c r="G718" s="7">
        <v>-1.4299999999998363</v>
      </c>
      <c r="H718" s="7">
        <f>Ventas[[#This Row],[SUBTOTAL]]+Ventas[[#This Row],[IVA]]+Ventas[[#This Row],[DESCUENTO/EXTRA]]</f>
        <v>1102.8900000000001</v>
      </c>
      <c r="I718" t="s">
        <v>18</v>
      </c>
      <c r="J718" t="s">
        <v>51</v>
      </c>
      <c r="K718" t="s">
        <v>15</v>
      </c>
      <c r="L718" t="s">
        <v>16</v>
      </c>
    </row>
    <row r="719" spans="1:12">
      <c r="A719" s="3">
        <v>45635</v>
      </c>
      <c r="B719" t="s">
        <v>45</v>
      </c>
      <c r="C719" s="5">
        <v>18</v>
      </c>
      <c r="D719" s="7">
        <v>50.01</v>
      </c>
      <c r="E719" s="7">
        <f>Ventas[[#This Row],[CANTIDAD]]*Ventas[[#This Row],[PRECIO_UNIT]]</f>
        <v>900.18</v>
      </c>
      <c r="F719" s="7">
        <f>Ventas[[#This Row],[SUBTOTAL]]*0.16</f>
        <v>144.02879999999999</v>
      </c>
      <c r="G719" s="7">
        <v>-1.8799999999828287E-2</v>
      </c>
      <c r="H719" s="7">
        <f>Ventas[[#This Row],[SUBTOTAL]]+Ventas[[#This Row],[IVA]]+Ventas[[#This Row],[DESCUENTO/EXTRA]]</f>
        <v>1044.19</v>
      </c>
      <c r="I719" t="s">
        <v>23</v>
      </c>
      <c r="J719" t="s">
        <v>38</v>
      </c>
      <c r="K719" t="s">
        <v>15</v>
      </c>
      <c r="L719" t="s">
        <v>16</v>
      </c>
    </row>
    <row r="720" spans="1:12">
      <c r="A720" s="3">
        <v>45635</v>
      </c>
      <c r="B720" t="s">
        <v>20</v>
      </c>
      <c r="C720" s="5">
        <v>18</v>
      </c>
      <c r="D720" s="7">
        <v>12.44</v>
      </c>
      <c r="E720" s="7">
        <f>Ventas[[#This Row],[CANTIDAD]]*Ventas[[#This Row],[PRECIO_UNIT]]</f>
        <v>223.92</v>
      </c>
      <c r="F720" s="7">
        <f>Ventas[[#This Row],[SUBTOTAL]]*0.16</f>
        <v>35.827199999999998</v>
      </c>
      <c r="G720" s="7">
        <v>0.25280000000003611</v>
      </c>
      <c r="H720" s="7">
        <f>Ventas[[#This Row],[SUBTOTAL]]+Ventas[[#This Row],[IVA]]+Ventas[[#This Row],[DESCUENTO/EXTRA]]</f>
        <v>260</v>
      </c>
      <c r="I720" t="s">
        <v>18</v>
      </c>
      <c r="J720" t="s">
        <v>34</v>
      </c>
      <c r="K720" t="s">
        <v>15</v>
      </c>
      <c r="L720" t="s">
        <v>16</v>
      </c>
    </row>
    <row r="721" spans="1:12">
      <c r="A721" s="3">
        <v>45637</v>
      </c>
      <c r="B721" t="s">
        <v>35</v>
      </c>
      <c r="C721" s="5">
        <v>12</v>
      </c>
      <c r="D721" s="7">
        <v>25</v>
      </c>
      <c r="E721" s="7">
        <f>Ventas[[#This Row],[CANTIDAD]]*Ventas[[#This Row],[PRECIO_UNIT]]</f>
        <v>300</v>
      </c>
      <c r="F721" s="7">
        <f>Ventas[[#This Row],[SUBTOTAL]]*0.16</f>
        <v>48</v>
      </c>
      <c r="G721" s="7">
        <v>1.6899999999999977</v>
      </c>
      <c r="H721" s="7">
        <f>Ventas[[#This Row],[SUBTOTAL]]+Ventas[[#This Row],[IVA]]+Ventas[[#This Row],[DESCUENTO/EXTRA]]</f>
        <v>349.69</v>
      </c>
      <c r="I721" t="s">
        <v>41</v>
      </c>
      <c r="J721" t="s">
        <v>56</v>
      </c>
      <c r="K721" t="s">
        <v>15</v>
      </c>
      <c r="L721" t="s">
        <v>16</v>
      </c>
    </row>
    <row r="722" spans="1:12">
      <c r="A722" s="3">
        <v>45637</v>
      </c>
      <c r="B722" t="s">
        <v>28</v>
      </c>
      <c r="C722" s="5">
        <v>11</v>
      </c>
      <c r="D722" s="7">
        <v>80.02</v>
      </c>
      <c r="E722" s="7">
        <f>Ventas[[#This Row],[CANTIDAD]]*Ventas[[#This Row],[PRECIO_UNIT]]</f>
        <v>880.21999999999991</v>
      </c>
      <c r="F722" s="7">
        <f>Ventas[[#This Row],[SUBTOTAL]]*0.16</f>
        <v>140.83519999999999</v>
      </c>
      <c r="G722" s="7">
        <v>-5.1999999999452484E-3</v>
      </c>
      <c r="H722" s="7">
        <f>Ventas[[#This Row],[SUBTOTAL]]+Ventas[[#This Row],[IVA]]+Ventas[[#This Row],[DESCUENTO/EXTRA]]</f>
        <v>1021.05</v>
      </c>
      <c r="I722" t="s">
        <v>23</v>
      </c>
      <c r="J722" t="s">
        <v>30</v>
      </c>
      <c r="K722" t="s">
        <v>15</v>
      </c>
      <c r="L722" t="s">
        <v>16</v>
      </c>
    </row>
    <row r="723" spans="1:12">
      <c r="A723" s="3">
        <v>45638</v>
      </c>
      <c r="B723" t="s">
        <v>17</v>
      </c>
      <c r="C723" s="5">
        <v>10</v>
      </c>
      <c r="D723" s="7">
        <v>36.47</v>
      </c>
      <c r="E723" s="7">
        <f>Ventas[[#This Row],[CANTIDAD]]*Ventas[[#This Row],[PRECIO_UNIT]]</f>
        <v>364.7</v>
      </c>
      <c r="F723" s="7">
        <f>Ventas[[#This Row],[SUBTOTAL]]*0.16</f>
        <v>58.351999999999997</v>
      </c>
      <c r="G723" s="7">
        <v>-5.1999999999964075E-2</v>
      </c>
      <c r="H723" s="7">
        <f>Ventas[[#This Row],[SUBTOTAL]]+Ventas[[#This Row],[IVA]]+Ventas[[#This Row],[DESCUENTO/EXTRA]]</f>
        <v>423</v>
      </c>
      <c r="I723" t="s">
        <v>18</v>
      </c>
      <c r="J723" t="s">
        <v>49</v>
      </c>
      <c r="K723" t="s">
        <v>25</v>
      </c>
      <c r="L723" t="s">
        <v>16</v>
      </c>
    </row>
    <row r="724" spans="1:12">
      <c r="A724" s="3">
        <v>45638</v>
      </c>
      <c r="B724" t="s">
        <v>45</v>
      </c>
      <c r="C724" s="5">
        <v>23</v>
      </c>
      <c r="D724" s="7">
        <v>43.96</v>
      </c>
      <c r="E724" s="7">
        <f>Ventas[[#This Row],[CANTIDAD]]*Ventas[[#This Row],[PRECIO_UNIT]]</f>
        <v>1011.08</v>
      </c>
      <c r="F724" s="7">
        <f>Ventas[[#This Row],[SUBTOTAL]]*0.16</f>
        <v>161.77280000000002</v>
      </c>
      <c r="G724" s="7">
        <v>-0.1228000000000975</v>
      </c>
      <c r="H724" s="7">
        <f>Ventas[[#This Row],[SUBTOTAL]]+Ventas[[#This Row],[IVA]]+Ventas[[#This Row],[DESCUENTO/EXTRA]]</f>
        <v>1172.73</v>
      </c>
      <c r="I724" t="s">
        <v>13</v>
      </c>
      <c r="J724" t="s">
        <v>52</v>
      </c>
      <c r="K724" t="s">
        <v>15</v>
      </c>
      <c r="L724" t="s">
        <v>16</v>
      </c>
    </row>
    <row r="725" spans="1:12">
      <c r="A725" s="3">
        <v>45638</v>
      </c>
      <c r="B725" t="s">
        <v>43</v>
      </c>
      <c r="C725" s="5">
        <v>16</v>
      </c>
      <c r="D725" s="7">
        <v>30.5</v>
      </c>
      <c r="E725" s="7">
        <f>Ventas[[#This Row],[CANTIDAD]]*Ventas[[#This Row],[PRECIO_UNIT]]</f>
        <v>488</v>
      </c>
      <c r="F725" s="7">
        <f>Ventas[[#This Row],[SUBTOTAL]]*0.16</f>
        <v>78.08</v>
      </c>
      <c r="G725" s="7">
        <v>-8.0000000000040927E-2</v>
      </c>
      <c r="H725" s="7">
        <f>Ventas[[#This Row],[SUBTOTAL]]+Ventas[[#This Row],[IVA]]+Ventas[[#This Row],[DESCUENTO/EXTRA]]</f>
        <v>566</v>
      </c>
      <c r="I725" t="s">
        <v>18</v>
      </c>
      <c r="J725" t="s">
        <v>51</v>
      </c>
      <c r="K725" t="s">
        <v>25</v>
      </c>
      <c r="L725" t="s">
        <v>16</v>
      </c>
    </row>
    <row r="726" spans="1:12">
      <c r="A726" s="3">
        <v>45639</v>
      </c>
      <c r="B726" t="s">
        <v>46</v>
      </c>
      <c r="C726" s="5">
        <v>16</v>
      </c>
      <c r="D726" s="7">
        <v>28.36</v>
      </c>
      <c r="E726" s="7">
        <f>Ventas[[#This Row],[CANTIDAD]]*Ventas[[#This Row],[PRECIO_UNIT]]</f>
        <v>453.76</v>
      </c>
      <c r="F726" s="7">
        <f>Ventas[[#This Row],[SUBTOTAL]]*0.16</f>
        <v>72.601600000000005</v>
      </c>
      <c r="G726" s="7">
        <v>-4.1599999999903048E-2</v>
      </c>
      <c r="H726" s="7">
        <f>Ventas[[#This Row],[SUBTOTAL]]+Ventas[[#This Row],[IVA]]+Ventas[[#This Row],[DESCUENTO/EXTRA]]</f>
        <v>526.32000000000005</v>
      </c>
      <c r="I726" t="s">
        <v>18</v>
      </c>
      <c r="J726" t="s">
        <v>19</v>
      </c>
      <c r="K726" t="s">
        <v>25</v>
      </c>
      <c r="L726" t="s">
        <v>16</v>
      </c>
    </row>
    <row r="727" spans="1:12">
      <c r="A727" s="3">
        <v>45639</v>
      </c>
      <c r="B727" t="s">
        <v>22</v>
      </c>
      <c r="C727" s="5">
        <v>7</v>
      </c>
      <c r="D727" s="7">
        <v>21.59</v>
      </c>
      <c r="E727" s="7">
        <f>Ventas[[#This Row],[CANTIDAD]]*Ventas[[#This Row],[PRECIO_UNIT]]</f>
        <v>151.13</v>
      </c>
      <c r="F727" s="7">
        <f>Ventas[[#This Row],[SUBTOTAL]]*0.16</f>
        <v>24.180800000000001</v>
      </c>
      <c r="G727" s="7">
        <v>2.9200000000003001E-2</v>
      </c>
      <c r="H727" s="7">
        <f>Ventas[[#This Row],[SUBTOTAL]]+Ventas[[#This Row],[IVA]]+Ventas[[#This Row],[DESCUENTO/EXTRA]]</f>
        <v>175.34</v>
      </c>
      <c r="I727" t="s">
        <v>18</v>
      </c>
      <c r="J727" t="s">
        <v>38</v>
      </c>
      <c r="K727" t="s">
        <v>15</v>
      </c>
      <c r="L727" t="s">
        <v>16</v>
      </c>
    </row>
    <row r="728" spans="1:12">
      <c r="A728" s="3">
        <v>45640</v>
      </c>
      <c r="B728" t="s">
        <v>12</v>
      </c>
      <c r="C728" s="5">
        <v>17</v>
      </c>
      <c r="D728" s="7">
        <v>58.29</v>
      </c>
      <c r="E728" s="7">
        <f>Ventas[[#This Row],[CANTIDAD]]*Ventas[[#This Row],[PRECIO_UNIT]]</f>
        <v>990.93</v>
      </c>
      <c r="F728" s="7">
        <f>Ventas[[#This Row],[SUBTOTAL]]*0.16</f>
        <v>158.5488</v>
      </c>
      <c r="G728" s="7">
        <v>7.1200000000089858E-2</v>
      </c>
      <c r="H728" s="7">
        <f>Ventas[[#This Row],[SUBTOTAL]]+Ventas[[#This Row],[IVA]]+Ventas[[#This Row],[DESCUENTO/EXTRA]]</f>
        <v>1149.55</v>
      </c>
      <c r="I728" t="s">
        <v>23</v>
      </c>
      <c r="J728" t="s">
        <v>48</v>
      </c>
      <c r="K728" t="s">
        <v>25</v>
      </c>
      <c r="L728" t="s">
        <v>16</v>
      </c>
    </row>
    <row r="729" spans="1:12">
      <c r="A729" s="3">
        <v>45640</v>
      </c>
      <c r="B729" t="s">
        <v>22</v>
      </c>
      <c r="C729" s="5">
        <v>4</v>
      </c>
      <c r="D729" s="7">
        <v>20.52</v>
      </c>
      <c r="E729" s="7">
        <f>Ventas[[#This Row],[CANTIDAD]]*Ventas[[#This Row],[PRECIO_UNIT]]</f>
        <v>82.08</v>
      </c>
      <c r="F729" s="7">
        <f>Ventas[[#This Row],[SUBTOTAL]]*0.16</f>
        <v>13.1328</v>
      </c>
      <c r="G729" s="7">
        <v>-0.21280000000000143</v>
      </c>
      <c r="H729" s="7">
        <f>Ventas[[#This Row],[SUBTOTAL]]+Ventas[[#This Row],[IVA]]+Ventas[[#This Row],[DESCUENTO/EXTRA]]</f>
        <v>95</v>
      </c>
      <c r="I729" t="s">
        <v>18</v>
      </c>
      <c r="J729" t="s">
        <v>33</v>
      </c>
      <c r="K729" t="s">
        <v>25</v>
      </c>
      <c r="L729" t="s">
        <v>16</v>
      </c>
    </row>
    <row r="730" spans="1:12">
      <c r="A730" s="3">
        <v>45640</v>
      </c>
      <c r="B730" t="s">
        <v>17</v>
      </c>
      <c r="C730" s="5">
        <v>21</v>
      </c>
      <c r="D730" s="7">
        <v>34.590000000000003</v>
      </c>
      <c r="E730" s="7">
        <f>Ventas[[#This Row],[CANTIDAD]]*Ventas[[#This Row],[PRECIO_UNIT]]</f>
        <v>726.3900000000001</v>
      </c>
      <c r="F730" s="7">
        <f>Ventas[[#This Row],[SUBTOTAL]]*0.16</f>
        <v>116.22240000000002</v>
      </c>
      <c r="G730" s="7">
        <v>7.7599999999961256E-2</v>
      </c>
      <c r="H730" s="7">
        <f>Ventas[[#This Row],[SUBTOTAL]]+Ventas[[#This Row],[IVA]]+Ventas[[#This Row],[DESCUENTO/EXTRA]]</f>
        <v>842.69</v>
      </c>
      <c r="I730" t="s">
        <v>23</v>
      </c>
      <c r="J730" t="s">
        <v>44</v>
      </c>
      <c r="K730" t="s">
        <v>15</v>
      </c>
      <c r="L730" t="s">
        <v>16</v>
      </c>
    </row>
    <row r="731" spans="1:12">
      <c r="A731" s="3">
        <v>45640</v>
      </c>
      <c r="B731" t="s">
        <v>40</v>
      </c>
      <c r="C731" s="5">
        <v>24</v>
      </c>
      <c r="D731" s="7">
        <v>32.729999999999997</v>
      </c>
      <c r="E731" s="7">
        <f>Ventas[[#This Row],[CANTIDAD]]*Ventas[[#This Row],[PRECIO_UNIT]]</f>
        <v>785.52</v>
      </c>
      <c r="F731" s="7">
        <f>Ventas[[#This Row],[SUBTOTAL]]*0.16</f>
        <v>125.6832</v>
      </c>
      <c r="G731" s="7">
        <v>6.680000000005748E-2</v>
      </c>
      <c r="H731" s="7">
        <f>Ventas[[#This Row],[SUBTOTAL]]+Ventas[[#This Row],[IVA]]+Ventas[[#This Row],[DESCUENTO/EXTRA]]</f>
        <v>911.27</v>
      </c>
      <c r="I731" t="s">
        <v>32</v>
      </c>
      <c r="J731" t="s">
        <v>38</v>
      </c>
      <c r="K731" t="s">
        <v>15</v>
      </c>
      <c r="L731" t="s">
        <v>16</v>
      </c>
    </row>
    <row r="732" spans="1:12">
      <c r="A732" s="3">
        <v>45642</v>
      </c>
      <c r="B732" t="s">
        <v>45</v>
      </c>
      <c r="C732" s="5">
        <v>8</v>
      </c>
      <c r="D732" s="7">
        <v>45</v>
      </c>
      <c r="E732" s="7">
        <f>Ventas[[#This Row],[CANTIDAD]]*Ventas[[#This Row],[PRECIO_UNIT]]</f>
        <v>360</v>
      </c>
      <c r="F732" s="7">
        <f>Ventas[[#This Row],[SUBTOTAL]]*0.16</f>
        <v>57.6</v>
      </c>
      <c r="G732" s="7">
        <v>1.5199999999999818</v>
      </c>
      <c r="H732" s="7">
        <f>Ventas[[#This Row],[SUBTOTAL]]+Ventas[[#This Row],[IVA]]+Ventas[[#This Row],[DESCUENTO/EXTRA]]</f>
        <v>419.12</v>
      </c>
      <c r="I732" t="s">
        <v>13</v>
      </c>
      <c r="J732" t="s">
        <v>53</v>
      </c>
      <c r="K732" t="s">
        <v>15</v>
      </c>
      <c r="L732" t="s">
        <v>16</v>
      </c>
    </row>
    <row r="733" spans="1:12">
      <c r="A733" s="3">
        <v>45642</v>
      </c>
      <c r="B733" t="s">
        <v>28</v>
      </c>
      <c r="C733" s="5">
        <v>9</v>
      </c>
      <c r="D733" s="7">
        <v>83</v>
      </c>
      <c r="E733" s="7">
        <f>Ventas[[#This Row],[CANTIDAD]]*Ventas[[#This Row],[PRECIO_UNIT]]</f>
        <v>747</v>
      </c>
      <c r="F733" s="7">
        <f>Ventas[[#This Row],[SUBTOTAL]]*0.16</f>
        <v>119.52</v>
      </c>
      <c r="G733" s="7">
        <v>4.32000000000005</v>
      </c>
      <c r="H733" s="7">
        <f>Ventas[[#This Row],[SUBTOTAL]]+Ventas[[#This Row],[IVA]]+Ventas[[#This Row],[DESCUENTO/EXTRA]]</f>
        <v>870.84</v>
      </c>
      <c r="I733" t="s">
        <v>23</v>
      </c>
      <c r="J733" t="s">
        <v>38</v>
      </c>
      <c r="K733" t="s">
        <v>15</v>
      </c>
      <c r="L733" t="s">
        <v>16</v>
      </c>
    </row>
    <row r="734" spans="1:12">
      <c r="A734" s="3">
        <v>45642</v>
      </c>
      <c r="B734" t="s">
        <v>26</v>
      </c>
      <c r="C734" s="5">
        <v>7</v>
      </c>
      <c r="D734" s="7">
        <v>43.92</v>
      </c>
      <c r="E734" s="7">
        <f>Ventas[[#This Row],[CANTIDAD]]*Ventas[[#This Row],[PRECIO_UNIT]]</f>
        <v>307.44</v>
      </c>
      <c r="F734" s="7">
        <f>Ventas[[#This Row],[SUBTOTAL]]*0.16</f>
        <v>49.190400000000004</v>
      </c>
      <c r="G734" s="7">
        <v>0.36959999999999127</v>
      </c>
      <c r="H734" s="7">
        <f>Ventas[[#This Row],[SUBTOTAL]]+Ventas[[#This Row],[IVA]]+Ventas[[#This Row],[DESCUENTO/EXTRA]]</f>
        <v>357</v>
      </c>
      <c r="I734" t="s">
        <v>13</v>
      </c>
      <c r="J734" t="s">
        <v>48</v>
      </c>
      <c r="K734" t="s">
        <v>15</v>
      </c>
      <c r="L734" t="s">
        <v>16</v>
      </c>
    </row>
    <row r="735" spans="1:12">
      <c r="A735" s="3">
        <v>45644</v>
      </c>
      <c r="B735" t="s">
        <v>28</v>
      </c>
      <c r="C735" s="5">
        <v>3</v>
      </c>
      <c r="D735" s="7">
        <v>75.09</v>
      </c>
      <c r="E735" s="7">
        <f>Ventas[[#This Row],[CANTIDAD]]*Ventas[[#This Row],[PRECIO_UNIT]]</f>
        <v>225.27</v>
      </c>
      <c r="F735" s="7">
        <f>Ventas[[#This Row],[SUBTOTAL]]*0.16</f>
        <v>36.043200000000006</v>
      </c>
      <c r="G735" s="7">
        <v>-0.31319999999999482</v>
      </c>
      <c r="H735" s="7">
        <f>Ventas[[#This Row],[SUBTOTAL]]+Ventas[[#This Row],[IVA]]+Ventas[[#This Row],[DESCUENTO/EXTRA]]</f>
        <v>261</v>
      </c>
      <c r="I735" t="s">
        <v>18</v>
      </c>
      <c r="J735" t="s">
        <v>30</v>
      </c>
      <c r="K735" t="s">
        <v>15</v>
      </c>
      <c r="L735" t="s">
        <v>16</v>
      </c>
    </row>
    <row r="736" spans="1:12">
      <c r="A736" s="3">
        <v>45644</v>
      </c>
      <c r="B736" t="s">
        <v>12</v>
      </c>
      <c r="C736" s="5">
        <v>19</v>
      </c>
      <c r="D736" s="7">
        <v>57</v>
      </c>
      <c r="E736" s="7">
        <f>Ventas[[#This Row],[CANTIDAD]]*Ventas[[#This Row],[PRECIO_UNIT]]</f>
        <v>1083</v>
      </c>
      <c r="F736" s="7">
        <f>Ventas[[#This Row],[SUBTOTAL]]*0.16</f>
        <v>173.28</v>
      </c>
      <c r="G736" s="7">
        <v>-2.6800000000000637</v>
      </c>
      <c r="H736" s="7">
        <f>Ventas[[#This Row],[SUBTOTAL]]+Ventas[[#This Row],[IVA]]+Ventas[[#This Row],[DESCUENTO/EXTRA]]</f>
        <v>1253.5999999999999</v>
      </c>
      <c r="I736" t="s">
        <v>18</v>
      </c>
      <c r="J736" t="s">
        <v>29</v>
      </c>
      <c r="K736" t="s">
        <v>15</v>
      </c>
      <c r="L736" t="s">
        <v>16</v>
      </c>
    </row>
    <row r="737" spans="1:12">
      <c r="A737" s="3">
        <v>45645</v>
      </c>
      <c r="B737" t="s">
        <v>20</v>
      </c>
      <c r="C737" s="5">
        <v>8</v>
      </c>
      <c r="D737" s="7">
        <v>11.14</v>
      </c>
      <c r="E737" s="7">
        <f>Ventas[[#This Row],[CANTIDAD]]*Ventas[[#This Row],[PRECIO_UNIT]]</f>
        <v>89.12</v>
      </c>
      <c r="F737" s="7">
        <f>Ventas[[#This Row],[SUBTOTAL]]*0.16</f>
        <v>14.259200000000002</v>
      </c>
      <c r="G737" s="7">
        <v>-0.37920000000001153</v>
      </c>
      <c r="H737" s="7">
        <f>Ventas[[#This Row],[SUBTOTAL]]+Ventas[[#This Row],[IVA]]+Ventas[[#This Row],[DESCUENTO/EXTRA]]</f>
        <v>103</v>
      </c>
      <c r="I737" t="s">
        <v>41</v>
      </c>
      <c r="J737" t="s">
        <v>42</v>
      </c>
      <c r="K737" t="s">
        <v>25</v>
      </c>
      <c r="L737" t="s">
        <v>16</v>
      </c>
    </row>
    <row r="738" spans="1:12">
      <c r="A738" s="3">
        <v>45647</v>
      </c>
      <c r="B738" t="s">
        <v>43</v>
      </c>
      <c r="C738" s="5">
        <v>26</v>
      </c>
      <c r="D738" s="7">
        <v>28</v>
      </c>
      <c r="E738" s="7">
        <f>Ventas[[#This Row],[CANTIDAD]]*Ventas[[#This Row],[PRECIO_UNIT]]</f>
        <v>728</v>
      </c>
      <c r="F738" s="7">
        <f>Ventas[[#This Row],[SUBTOTAL]]*0.16</f>
        <v>116.48</v>
      </c>
      <c r="G738" s="7">
        <v>0.36000000000001364</v>
      </c>
      <c r="H738" s="7">
        <f>Ventas[[#This Row],[SUBTOTAL]]+Ventas[[#This Row],[IVA]]+Ventas[[#This Row],[DESCUENTO/EXTRA]]</f>
        <v>844.84</v>
      </c>
      <c r="I738" t="s">
        <v>23</v>
      </c>
      <c r="J738" t="s">
        <v>33</v>
      </c>
      <c r="K738" t="s">
        <v>15</v>
      </c>
      <c r="L738" t="s">
        <v>16</v>
      </c>
    </row>
    <row r="739" spans="1:12">
      <c r="A739" s="3">
        <v>45647</v>
      </c>
      <c r="B739" t="s">
        <v>17</v>
      </c>
      <c r="C739" s="5">
        <v>8</v>
      </c>
      <c r="D739" s="7">
        <v>33.799999999999997</v>
      </c>
      <c r="E739" s="7">
        <f>Ventas[[#This Row],[CANTIDAD]]*Ventas[[#This Row],[PRECIO_UNIT]]</f>
        <v>270.39999999999998</v>
      </c>
      <c r="F739" s="7">
        <f>Ventas[[#This Row],[SUBTOTAL]]*0.16</f>
        <v>43.263999999999996</v>
      </c>
      <c r="G739" s="7">
        <v>1.6000000000019554E-2</v>
      </c>
      <c r="H739" s="7">
        <f>Ventas[[#This Row],[SUBTOTAL]]+Ventas[[#This Row],[IVA]]+Ventas[[#This Row],[DESCUENTO/EXTRA]]</f>
        <v>313.68</v>
      </c>
      <c r="I739" t="s">
        <v>32</v>
      </c>
      <c r="J739" t="s">
        <v>56</v>
      </c>
      <c r="K739" t="s">
        <v>15</v>
      </c>
      <c r="L739" t="s">
        <v>16</v>
      </c>
    </row>
    <row r="740" spans="1:12">
      <c r="A740" s="3">
        <v>45648</v>
      </c>
      <c r="B740" t="s">
        <v>20</v>
      </c>
      <c r="C740" s="5">
        <v>29</v>
      </c>
      <c r="D740" s="7">
        <v>11.66</v>
      </c>
      <c r="E740" s="7">
        <f>Ventas[[#This Row],[CANTIDAD]]*Ventas[[#This Row],[PRECIO_UNIT]]</f>
        <v>338.14</v>
      </c>
      <c r="F740" s="7">
        <f>Ventas[[#This Row],[SUBTOTAL]]*0.16</f>
        <v>54.102399999999996</v>
      </c>
      <c r="G740" s="7">
        <v>-0.24239999999997508</v>
      </c>
      <c r="H740" s="7">
        <f>Ventas[[#This Row],[SUBTOTAL]]+Ventas[[#This Row],[IVA]]+Ventas[[#This Row],[DESCUENTO/EXTRA]]</f>
        <v>392</v>
      </c>
      <c r="I740" t="s">
        <v>18</v>
      </c>
      <c r="J740" t="s">
        <v>14</v>
      </c>
      <c r="K740" t="s">
        <v>15</v>
      </c>
      <c r="L740" t="s">
        <v>16</v>
      </c>
    </row>
    <row r="741" spans="1:12">
      <c r="A741" s="3">
        <v>45648</v>
      </c>
      <c r="B741" t="s">
        <v>22</v>
      </c>
      <c r="C741" s="5">
        <v>2</v>
      </c>
      <c r="D741" s="7">
        <v>21</v>
      </c>
      <c r="E741" s="7">
        <f>Ventas[[#This Row],[CANTIDAD]]*Ventas[[#This Row],[PRECIO_UNIT]]</f>
        <v>42</v>
      </c>
      <c r="F741" s="7">
        <f>Ventas[[#This Row],[SUBTOTAL]]*0.16</f>
        <v>6.72</v>
      </c>
      <c r="G741" s="7">
        <v>0.28000000000000114</v>
      </c>
      <c r="H741" s="7">
        <f>Ventas[[#This Row],[SUBTOTAL]]+Ventas[[#This Row],[IVA]]+Ventas[[#This Row],[DESCUENTO/EXTRA]]</f>
        <v>49</v>
      </c>
      <c r="I741" t="s">
        <v>23</v>
      </c>
      <c r="J741" t="s">
        <v>55</v>
      </c>
      <c r="K741" t="s">
        <v>25</v>
      </c>
      <c r="L741" t="s">
        <v>16</v>
      </c>
    </row>
    <row r="742" spans="1:12">
      <c r="A742" s="3">
        <v>45649</v>
      </c>
      <c r="B742" t="s">
        <v>17</v>
      </c>
      <c r="C742" s="5">
        <v>8</v>
      </c>
      <c r="D742" s="7">
        <v>37</v>
      </c>
      <c r="E742" s="7">
        <f>Ventas[[#This Row],[CANTIDAD]]*Ventas[[#This Row],[PRECIO_UNIT]]</f>
        <v>296</v>
      </c>
      <c r="F742" s="7">
        <f>Ventas[[#This Row],[SUBTOTAL]]*0.16</f>
        <v>47.36</v>
      </c>
      <c r="G742" s="7">
        <v>-0.36000000000001364</v>
      </c>
      <c r="H742" s="7">
        <f>Ventas[[#This Row],[SUBTOTAL]]+Ventas[[#This Row],[IVA]]+Ventas[[#This Row],[DESCUENTO/EXTRA]]</f>
        <v>343</v>
      </c>
      <c r="I742" t="s">
        <v>23</v>
      </c>
      <c r="J742" t="s">
        <v>19</v>
      </c>
      <c r="K742" t="s">
        <v>25</v>
      </c>
      <c r="L742" t="s">
        <v>16</v>
      </c>
    </row>
    <row r="743" spans="1:12">
      <c r="A743" s="3">
        <v>45649</v>
      </c>
      <c r="B743" t="s">
        <v>17</v>
      </c>
      <c r="C743" s="5">
        <v>21</v>
      </c>
      <c r="D743" s="7">
        <v>35</v>
      </c>
      <c r="E743" s="7">
        <f>Ventas[[#This Row],[CANTIDAD]]*Ventas[[#This Row],[PRECIO_UNIT]]</f>
        <v>735</v>
      </c>
      <c r="F743" s="7">
        <f>Ventas[[#This Row],[SUBTOTAL]]*0.16</f>
        <v>117.60000000000001</v>
      </c>
      <c r="G743" s="7">
        <v>1.4499999999999318</v>
      </c>
      <c r="H743" s="7">
        <f>Ventas[[#This Row],[SUBTOTAL]]+Ventas[[#This Row],[IVA]]+Ventas[[#This Row],[DESCUENTO/EXTRA]]</f>
        <v>854.05</v>
      </c>
      <c r="I743" t="s">
        <v>18</v>
      </c>
      <c r="J743" t="s">
        <v>21</v>
      </c>
      <c r="K743" t="s">
        <v>15</v>
      </c>
      <c r="L743" t="s">
        <v>16</v>
      </c>
    </row>
    <row r="744" spans="1:12">
      <c r="A744" s="3">
        <v>45650</v>
      </c>
      <c r="B744" t="s">
        <v>40</v>
      </c>
      <c r="C744" s="5">
        <v>6</v>
      </c>
      <c r="D744" s="7">
        <v>33.75</v>
      </c>
      <c r="E744" s="7">
        <f>Ventas[[#This Row],[CANTIDAD]]*Ventas[[#This Row],[PRECIO_UNIT]]</f>
        <v>202.5</v>
      </c>
      <c r="F744" s="7">
        <f>Ventas[[#This Row],[SUBTOTAL]]*0.16</f>
        <v>32.4</v>
      </c>
      <c r="G744" s="7">
        <v>-1.0000000000019327E-2</v>
      </c>
      <c r="H744" s="7">
        <f>Ventas[[#This Row],[SUBTOTAL]]+Ventas[[#This Row],[IVA]]+Ventas[[#This Row],[DESCUENTO/EXTRA]]</f>
        <v>234.89</v>
      </c>
      <c r="I744" t="s">
        <v>18</v>
      </c>
      <c r="J744" t="s">
        <v>24</v>
      </c>
      <c r="K744" t="s">
        <v>15</v>
      </c>
      <c r="L744" t="s">
        <v>16</v>
      </c>
    </row>
    <row r="745" spans="1:12">
      <c r="A745" s="3">
        <v>45650</v>
      </c>
      <c r="B745" t="s">
        <v>22</v>
      </c>
      <c r="C745" s="5">
        <v>9</v>
      </c>
      <c r="D745" s="7">
        <v>22</v>
      </c>
      <c r="E745" s="7">
        <f>Ventas[[#This Row],[CANTIDAD]]*Ventas[[#This Row],[PRECIO_UNIT]]</f>
        <v>198</v>
      </c>
      <c r="F745" s="7">
        <f>Ventas[[#This Row],[SUBTOTAL]]*0.16</f>
        <v>31.68</v>
      </c>
      <c r="G745" s="7">
        <v>-3.6800000000000068</v>
      </c>
      <c r="H745" s="7">
        <f>Ventas[[#This Row],[SUBTOTAL]]+Ventas[[#This Row],[IVA]]+Ventas[[#This Row],[DESCUENTO/EXTRA]]</f>
        <v>226</v>
      </c>
      <c r="I745" t="s">
        <v>23</v>
      </c>
      <c r="J745" t="s">
        <v>56</v>
      </c>
      <c r="K745" t="s">
        <v>15</v>
      </c>
      <c r="L745" t="s">
        <v>16</v>
      </c>
    </row>
    <row r="746" spans="1:12">
      <c r="A746" s="3">
        <v>45652</v>
      </c>
      <c r="B746" t="s">
        <v>12</v>
      </c>
      <c r="C746" s="5">
        <v>22</v>
      </c>
      <c r="D746" s="7">
        <v>59.18</v>
      </c>
      <c r="E746" s="7">
        <f>Ventas[[#This Row],[CANTIDAD]]*Ventas[[#This Row],[PRECIO_UNIT]]</f>
        <v>1301.96</v>
      </c>
      <c r="F746" s="7">
        <f>Ventas[[#This Row],[SUBTOTAL]]*0.16</f>
        <v>208.31360000000001</v>
      </c>
      <c r="G746" s="7">
        <v>-0.27359999999998763</v>
      </c>
      <c r="H746" s="7">
        <f>Ventas[[#This Row],[SUBTOTAL]]+Ventas[[#This Row],[IVA]]+Ventas[[#This Row],[DESCUENTO/EXTRA]]</f>
        <v>1510</v>
      </c>
      <c r="I746" t="s">
        <v>13</v>
      </c>
      <c r="J746" t="s">
        <v>55</v>
      </c>
      <c r="K746" t="s">
        <v>15</v>
      </c>
      <c r="L746" t="s">
        <v>16</v>
      </c>
    </row>
    <row r="747" spans="1:12">
      <c r="A747" s="3">
        <v>45653</v>
      </c>
      <c r="B747" t="s">
        <v>43</v>
      </c>
      <c r="C747" s="5">
        <v>22</v>
      </c>
      <c r="D747" s="7">
        <v>29.07</v>
      </c>
      <c r="E747" s="7">
        <f>Ventas[[#This Row],[CANTIDAD]]*Ventas[[#This Row],[PRECIO_UNIT]]</f>
        <v>639.54</v>
      </c>
      <c r="F747" s="7">
        <f>Ventas[[#This Row],[SUBTOTAL]]*0.16</f>
        <v>102.32639999999999</v>
      </c>
      <c r="G747" s="7">
        <v>-3.6399999999957799E-2</v>
      </c>
      <c r="H747" s="7">
        <f>Ventas[[#This Row],[SUBTOTAL]]+Ventas[[#This Row],[IVA]]+Ventas[[#This Row],[DESCUENTO/EXTRA]]</f>
        <v>741.83</v>
      </c>
      <c r="I747" t="s">
        <v>23</v>
      </c>
      <c r="J747" t="s">
        <v>39</v>
      </c>
      <c r="K747" t="s">
        <v>15</v>
      </c>
      <c r="L747" t="s">
        <v>16</v>
      </c>
    </row>
    <row r="748" spans="1:12">
      <c r="A748" s="3">
        <v>45655</v>
      </c>
      <c r="B748" t="s">
        <v>46</v>
      </c>
      <c r="C748" s="5">
        <v>18</v>
      </c>
      <c r="D748" s="7">
        <v>26</v>
      </c>
      <c r="E748" s="7">
        <f>Ventas[[#This Row],[CANTIDAD]]*Ventas[[#This Row],[PRECIO_UNIT]]</f>
        <v>468</v>
      </c>
      <c r="F748" s="7">
        <f>Ventas[[#This Row],[SUBTOTAL]]*0.16</f>
        <v>74.88</v>
      </c>
      <c r="G748" s="7">
        <v>4.1200000000000045</v>
      </c>
      <c r="H748" s="7">
        <f>Ventas[[#This Row],[SUBTOTAL]]+Ventas[[#This Row],[IVA]]+Ventas[[#This Row],[DESCUENTO/EXTRA]]</f>
        <v>547</v>
      </c>
      <c r="I748" t="s">
        <v>23</v>
      </c>
      <c r="J748" t="s">
        <v>47</v>
      </c>
      <c r="K748" t="s">
        <v>25</v>
      </c>
      <c r="L748" t="s">
        <v>16</v>
      </c>
    </row>
    <row r="749" spans="1:12">
      <c r="A749" s="3">
        <v>45657</v>
      </c>
      <c r="B749" t="s">
        <v>20</v>
      </c>
      <c r="C749" s="5">
        <v>5</v>
      </c>
      <c r="D749" s="7">
        <v>10</v>
      </c>
      <c r="E749" s="7">
        <f>Ventas[[#This Row],[CANTIDAD]]*Ventas[[#This Row],[PRECIO_UNIT]]</f>
        <v>50</v>
      </c>
      <c r="F749" s="7">
        <f>Ventas[[#This Row],[SUBTOTAL]]*0.16</f>
        <v>8</v>
      </c>
      <c r="G749" s="7">
        <v>5.3400000000000034</v>
      </c>
      <c r="H749" s="7">
        <f>Ventas[[#This Row],[SUBTOTAL]]+Ventas[[#This Row],[IVA]]+Ventas[[#This Row],[DESCUENTO/EXTRA]]</f>
        <v>63.34</v>
      </c>
      <c r="I749" t="s">
        <v>18</v>
      </c>
      <c r="J749" t="s">
        <v>19</v>
      </c>
      <c r="K749" t="s">
        <v>25</v>
      </c>
      <c r="L749" t="s">
        <v>16</v>
      </c>
    </row>
    <row r="750" spans="1:12">
      <c r="A750" s="3">
        <v>45657</v>
      </c>
      <c r="B750" t="s">
        <v>46</v>
      </c>
      <c r="C750" s="5">
        <v>3</v>
      </c>
      <c r="D750" s="7">
        <v>25</v>
      </c>
      <c r="E750" s="7">
        <f>Ventas[[#This Row],[CANTIDAD]]*Ventas[[#This Row],[PRECIO_UNIT]]</f>
        <v>75</v>
      </c>
      <c r="F750" s="7">
        <f>Ventas[[#This Row],[SUBTOTAL]]*0.16</f>
        <v>12</v>
      </c>
      <c r="G750" s="7">
        <v>0.95000000000000284</v>
      </c>
      <c r="H750" s="7">
        <f>Ventas[[#This Row],[SUBTOTAL]]+Ventas[[#This Row],[IVA]]+Ventas[[#This Row],[DESCUENTO/EXTRA]]</f>
        <v>87.95</v>
      </c>
      <c r="I750" t="s">
        <v>32</v>
      </c>
      <c r="J750" t="s">
        <v>36</v>
      </c>
      <c r="K750" t="s">
        <v>25</v>
      </c>
      <c r="L750" t="s">
        <v>16</v>
      </c>
    </row>
    <row r="751" spans="1:12">
      <c r="E751" s="7">
        <f>Ventas[[#This Row],[CANTIDAD]]*Ventas[[#This Row],[PRECIO_UNIT]]</f>
        <v>0</v>
      </c>
      <c r="F751" s="7">
        <f>Ventas[[#This Row],[SUBTOTAL]]*0.16</f>
        <v>0</v>
      </c>
      <c r="G751" s="7">
        <v>0</v>
      </c>
      <c r="H751" s="7">
        <f>Ventas[[#This Row],[SUBTOTAL]]+Ventas[[#This Row],[IVA]]+Ventas[[#This Row],[DESCUENTO/EXTRA]]</f>
        <v>0</v>
      </c>
      <c r="L751" t="s">
        <v>16</v>
      </c>
    </row>
  </sheetData>
  <dataValidations count="7">
    <dataValidation type="date" operator="greaterThan" allowBlank="1" showInputMessage="1" showErrorMessage="1" sqref="A1:A1048576" xr:uid="{EC03F6CB-7CF4-4F61-95A2-6B74D3C6523F}">
      <formula1>1</formula1>
    </dataValidation>
    <dataValidation type="decimal" allowBlank="1" showInputMessage="1" showErrorMessage="1" sqref="C1:C1048576" xr:uid="{2DEFB635-7CA6-4902-A081-2CC169CB3BB1}">
      <formula1>0</formula1>
      <formula2>1000</formula2>
    </dataValidation>
    <dataValidation type="decimal" allowBlank="1" showInputMessage="1" showErrorMessage="1" sqref="D1:H1048576" xr:uid="{1C3A9806-8216-4713-B536-48FCF98E50C9}">
      <formula1>0</formula1>
      <formula2>1000000</formula2>
    </dataValidation>
    <dataValidation type="list" allowBlank="1" showInputMessage="1" showErrorMessage="1" sqref="I1:I1048576" xr:uid="{CD75918D-C93E-4E88-9C01-8D5406C7315A}">
      <formula1>"Tarjeta, Efectivo, Transferencia, Cheque, Crédito 30 días"</formula1>
    </dataValidation>
    <dataValidation type="list" allowBlank="1" showInputMessage="1" showErrorMessage="1" sqref="B1:B1048576" xr:uid="{5BF2C112-3D66-4249-BB5B-671B5E359305}">
      <formula1>"Arroz 1kg La Merced, Frijol bayo 1kg, Azúcar 1kg Zulka, Sal 1kg La Fina, Cloro Cloralex 1L, Aceite 1L Nutrioli, Papel Higiénico Petalo x4, Jabón Roma 500g, Detergente Ariel 1kg, Pinol 1L, Suavitel 800ml, Servilletas Kleenex x100"</formula1>
    </dataValidation>
    <dataValidation type="list" allowBlank="1" showInputMessage="1" showErrorMessage="1" sqref="K1:K1048576" xr:uid="{A29FFB32-BABF-4101-BC9D-670E5902E97C}">
      <formula1>"Lupita, Rodrigo"</formula1>
    </dataValidation>
    <dataValidation type="list" allowBlank="1" showInputMessage="1" showErrorMessage="1" sqref="L1:L1048576" xr:uid="{7F2C8DF9-2A97-4E4B-96B6-E7989DB28CC0}">
      <formula1>"PAGADO, PENDIENTE, CANCELADO"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2026-05-02T21:17:48Z</dcterms:created>
  <dcterms:modified xsi:type="dcterms:W3CDTF">2026-05-15T02:00:57Z</dcterms:modified>
  <cp:category/>
  <cp:contentStatus/>
</cp:coreProperties>
</file>